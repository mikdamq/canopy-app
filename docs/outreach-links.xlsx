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" sheetId="1" state="visible" r:id="rId3"/>
    <sheet name="How to use" sheetId="2" state="visible" r:id="rId4"/>
  </sheets>
  <definedNames>
    <definedName function="false" hidden="true" localSheetId="0" name="_xlnm._FilterDatabase" vbProcedure="false">Links!$A$9:$L$209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Any format works: +962 7 9000 0000, 00962..., spaces and dashes are removed. Start with the country code.</t>
        </r>
      </text>
    </comment>
    <comment ref="G9" authorId="0">
      <text>
        <r>
          <rPr>
            <sz val="10"/>
            <rFont val="Arial"/>
            <family val="2"/>
          </rPr>
          <t xml:space="preserve">utm_content is the row number, not the farm name, so Umami never stores farm names. Look up the row here to see which farm it was.</t>
        </r>
      </text>
    </comment>
  </commentList>
</comments>
</file>

<file path=xl/sharedStrings.xml><?xml version="1.0" encoding="utf-8"?>
<sst xmlns="http://schemas.openxmlformats.org/spreadsheetml/2006/main" count="168" uniqueCount="89">
  <si>
    <t xml:space="preserve">Canopy outreach links</t>
  </si>
  <si>
    <t xml:space="preserve">Yellow cells are yours to fill in. Everything else is calculated.</t>
  </si>
  <si>
    <t xml:space="preserve">Site address</t>
  </si>
  <si>
    <t xml:space="preserve">https://your-domain.com</t>
  </si>
  <si>
    <t xml:space="preserve">The live site address, no slash at the end. Change it once the domain is chosen.</t>
  </si>
  <si>
    <t xml:space="preserve">Campaign name</t>
  </si>
  <si>
    <t xml:space="preserve">outreach-1</t>
  </si>
  <si>
    <t xml:space="preserve">Shows up in Umami as utm_campaign, so you can compare rounds of outreach.</t>
  </si>
  <si>
    <t xml:space="preserve">Message (English)</t>
  </si>
  <si>
    <t xml:space="preserve">Hi {name}, I made a live 3D demo of {farm} so you can see how it would look: {link}  Have a look, and reply here with what you'd change for your farm.</t>
  </si>
  <si>
    <t xml:space="preserve">Use {name}, {farm} and {link}. They're filled in for each row.</t>
  </si>
  <si>
    <t xml:space="preserve">Message (Arabic)</t>
  </si>
  <si>
    <t xml:space="preserve">مرحبًا {name}، جهّزت عرضًا حيًّا ثلاثي الأبعاد لـ {farm} لترى كيف ستبدو مزرعتك: {link}  ألقِ نظرة، وأخبرني هنا بما تودّ تغييره ليناسب مزرعتك.</t>
  </si>
  <si>
    <t xml:space="preserve">Same placeholders as the English message.</t>
  </si>
  <si>
    <t xml:space="preserve">Farm name</t>
  </si>
  <si>
    <t xml:space="preserve">Contact name</t>
  </si>
  <si>
    <t xml:space="preserve">Country</t>
  </si>
  <si>
    <t xml:space="preserve">Phone (with country code)</t>
  </si>
  <si>
    <t xml:space="preserve">Channel</t>
  </si>
  <si>
    <t xml:space="preserve">Language</t>
  </si>
  <si>
    <t xml:space="preserve">Demo link</t>
  </si>
  <si>
    <t xml:space="preserve">Message</t>
  </si>
  <si>
    <t xml:space="preserve">Open in WhatsApp</t>
  </si>
  <si>
    <t xml:space="preserve">Status</t>
  </si>
  <si>
    <t xml:space="preserve">Date sent</t>
  </si>
  <si>
    <t xml:space="preserve">Notes</t>
  </si>
  <si>
    <t xml:space="preserve">iPlant</t>
  </si>
  <si>
    <t xml:space="preserve">Jordan</t>
  </si>
  <si>
    <t xml:space="preserve">linkedin</t>
  </si>
  <si>
    <t xml:space="preserve">ar</t>
  </si>
  <si>
    <t xml:space="preserve">to contact</t>
  </si>
  <si>
    <t xml:space="preserve">A · urban/vertical farming systems, Amman</t>
  </si>
  <si>
    <t xml:space="preserve">Hypo-Farm</t>
  </si>
  <si>
    <t xml:space="preserve">whatsapp</t>
  </si>
  <si>
    <t xml:space="preserve">A · hydroponic herb farm, Amman</t>
  </si>
  <si>
    <t xml:space="preserve">Smart Green</t>
  </si>
  <si>
    <t xml:space="preserve">C · IoT sensor partner, Irbid</t>
  </si>
  <si>
    <t xml:space="preserve">ECO Consult</t>
  </si>
  <si>
    <t xml:space="preserve">email</t>
  </si>
  <si>
    <t xml:space="preserve">en</t>
  </si>
  <si>
    <t xml:space="preserve">C · hydroponic programmes, many farms</t>
  </si>
  <si>
    <t xml:space="preserve">HAED-Jo</t>
  </si>
  <si>
    <t xml:space="preserve">C · hydroponics programme, farm directory</t>
  </si>
  <si>
    <t xml:space="preserve">NARC</t>
  </si>
  <si>
    <t xml:space="preserve">C · national research centre</t>
  </si>
  <si>
    <t xml:space="preserve">Habak</t>
  </si>
  <si>
    <t xml:space="preserve">other</t>
  </si>
  <si>
    <t xml:space="preserve">B · women-led hydroponic cooperative</t>
  </si>
  <si>
    <t xml:space="preserve">Badia Farms</t>
  </si>
  <si>
    <t xml:space="preserve">UAE</t>
  </si>
  <si>
    <t xml:space="preserve">A · vertical microgreens, Dubai</t>
  </si>
  <si>
    <t xml:space="preserve">Madar Farms</t>
  </si>
  <si>
    <t xml:space="preserve">A · container + indoor tomatoes, Abu Dhabi</t>
  </si>
  <si>
    <t xml:space="preserve">Emirates Hydroponics Farms</t>
  </si>
  <si>
    <t xml:space="preserve">A · hydroponic grower since 2005</t>
  </si>
  <si>
    <t xml:space="preserve">VeggiTech</t>
  </si>
  <si>
    <t xml:space="preserve">B · builds/operates hydroponic farms; check Dubai vs Sharjah entity</t>
  </si>
  <si>
    <t xml:space="preserve">Emirates Bustanica</t>
  </si>
  <si>
    <t xml:space="preserve">B · very large vertical farm; later, with a pilot to show</t>
  </si>
  <si>
    <t xml:space="preserve">Pure Harvest Smart Farms</t>
  </si>
  <si>
    <t xml:space="preserve">B · GCC greenhouses; later, with a pilot to show</t>
  </si>
  <si>
    <t xml:space="preserve">iFarm</t>
  </si>
  <si>
    <t xml:space="preserve">C · vertical farm tech supplier, partner</t>
  </si>
  <si>
    <t xml:space="preserve">ICBA</t>
  </si>
  <si>
    <t xml:space="preserve">C · research centre, Dubai</t>
  </si>
  <si>
    <t xml:space="preserve">Bather Smart Farm</t>
  </si>
  <si>
    <t xml:space="preserve">Saudi Arabia</t>
  </si>
  <si>
    <t xml:space="preserve">A · vertical leafy greens, Riyadh</t>
  </si>
  <si>
    <t xml:space="preserve">Mojan Farms</t>
  </si>
  <si>
    <t xml:space="preserve">A · hydroponic greenhouses, Jeddah (Instagram)</t>
  </si>
  <si>
    <t xml:space="preserve">Vertical Farms Company</t>
  </si>
  <si>
    <t xml:space="preserve">B · Mowreq + YesHealth JV; confirm it's open</t>
  </si>
  <si>
    <t xml:space="preserve">RedSea</t>
  </si>
  <si>
    <t xml:space="preserve">C · hot-climate greenhouse tech, partner</t>
  </si>
  <si>
    <t xml:space="preserve">KAUST Center for Desert Agriculture</t>
  </si>
  <si>
    <t xml:space="preserve">C · research centre</t>
  </si>
  <si>
    <t xml:space="preserve">KACST Green CEA Centre</t>
  </si>
  <si>
    <t xml:space="preserve">Desert Agriculture</t>
  </si>
  <si>
    <t xml:space="preserve">B · verify active first, Dammam</t>
  </si>
  <si>
    <t xml:space="preserve">How to use this sheet</t>
  </si>
  <si>
    <t xml:space="preserve">1. Set the site address and campaign name at the top of the Links tab (yellow cells).</t>
  </si>
  <si>
    <t xml:space="preserve">2. 22 target farms are already listed (see docs/validation/target-farms.md). Add the contact's first name and phone, or add new farms below.</t>
  </si>
  <si>
    <t xml:space="preserve">3. The demo link, message and WhatsApp link fill in on their own. Click "Send on WhatsApp" to open a chat with the message ready.</t>
  </si>
  <si>
    <t xml:space="preserve">4. For LinkedIn or email, copy the Message column instead.</t>
  </si>
  <si>
    <t xml:space="preserve">5. Update Status as you go. Filter the header row to see who to follow up with.</t>
  </si>
  <si>
    <t xml:space="preserve">Reading the results in Umami</t>
  </si>
  <si>
    <t xml:space="preserve">Open Umami → your site → UTM. utm_source shows the channel, utm_campaign the round, and utm_content the row (row-1 is the first farm).</t>
  </si>
  <si>
    <t xml:space="preserve">Then check Events for demo_opened, demo_interaction and request_sent to see how far each source got.</t>
  </si>
  <si>
    <t xml:space="preserve">Works in Google Sheets (File → Import → Upload) and Excel.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</si>
</sst>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B2B"/>
      <name val="Arial"/>
      <family val="0"/>
      <charset val="1"/>
    </font>
    <font>
      <sz val="10"/>
      <color rgb="FF5B677D"/>
      <name val="Arial"/>
      <family val="0"/>
      <charset val="1"/>
    </font>
    <font>
      <b val="true"/>
      <sz val="11"/>
      <color rgb="FF141B2B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B677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E9E5B"/>
      <name val="Arial"/>
      <family val="0"/>
      <charset val="1"/>
    </font>
    <font>
      <sz val="11"/>
      <color rgb="FF141B2B"/>
      <name val="Arial"/>
      <family val="0"/>
      <charset val="1"/>
    </font>
    <font>
      <sz val="10"/>
      <name val="Arial"/>
      <family val="2"/>
    </font>
    <font>
      <b val="true"/>
      <sz val="13"/>
      <color rgb="FF141B2B"/>
      <name val="Arial"/>
      <family val="0"/>
      <charset val="1"/>
    </font>
    <font>
      <sz val="11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8"/>
        <bgColor rgb="FFFFFF99"/>
      </patternFill>
    </fill>
    <fill>
      <patternFill patternType="solid">
        <fgColor rgb="FF141B2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41B2B"/>
          <bgColor rgb="FF000000"/>
        </patternFill>
      </fill>
    </dxf>
    <dxf>
      <fill>
        <patternFill patternType="solid">
          <fgColor rgb="FFFFF6C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9E5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8"/>
      <rgbColor rgb="FFCCFFFF"/>
      <rgbColor rgb="FF660066"/>
      <rgbColor rgb="FFFF8080"/>
      <rgbColor rgb="FF0066CC"/>
      <rgbColor rgb="FFDC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D"/>
      <rgbColor rgb="FF969696"/>
      <rgbColor rgb="FF003366"/>
      <rgbColor rgb="FF2E9E5B"/>
      <rgbColor rgb="FF141B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48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5" t="s">
        <v>4</v>
      </c>
    </row>
    <row r="5" customFormat="false" ht="22.3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  <c r="G5" s="5" t="s">
        <v>7</v>
      </c>
    </row>
    <row r="6" customFormat="false" ht="31.5" hidden="false" customHeight="true" outlineLevel="0" collapsed="false">
      <c r="A6" s="3" t="s">
        <v>8</v>
      </c>
      <c r="B6" s="4" t="s">
        <v>9</v>
      </c>
      <c r="C6" s="4"/>
      <c r="D6" s="4"/>
      <c r="E6" s="4"/>
      <c r="F6" s="4"/>
      <c r="G6" s="5" t="s">
        <v>10</v>
      </c>
    </row>
    <row r="7" customFormat="false" ht="31.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5" t="s">
        <v>13</v>
      </c>
    </row>
    <row r="9" customFormat="false" ht="30" hidden="false" customHeight="true" outlineLevel="0" collapsed="false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</row>
    <row r="10" customFormat="false" ht="15" hidden="false" customHeight="false" outlineLevel="0" collapsed="false">
      <c r="A10" s="7" t="s">
        <v>26</v>
      </c>
      <c r="B10" s="7"/>
      <c r="C10" s="7" t="s">
        <v>27</v>
      </c>
      <c r="D10" s="7"/>
      <c r="E10" s="7" t="s">
        <v>28</v>
      </c>
      <c r="F10" s="7" t="s">
        <v>29</v>
      </c>
      <c r="G10" s="8" t="str">
        <f aca="false">IF(A10="","",$B$4&amp;"/"&amp;IF(F10="","en",F10)&amp;"/demo?farm="&amp;_xlfn.ENCODEURL(A10)&amp;"&amp;utm_source="&amp;IF(E10="","direct",E10)&amp;"&amp;utm_medium=outreach&amp;utm_campaign="&amp;_xlfn.ENCODEURL($B$5)&amp;"&amp;utm_content=row-1")</f>
        <v>https://your-domain.com/ar/demo?farm=iPlant&amp;utm_source=linkedin&amp;utm_medium=outreach&amp;utm_campaign=outreach-1&amp;utm_content=row-1</v>
      </c>
      <c r="H10" s="9" t="str">
        <f aca="false">IF(A10="","",SUBSTITUTE(SUBSTITUTE(SUBSTITUTE(IF(F10="ar",$B$7,$B$6)," {name}",IF(B10="",""," "&amp;B10)),"{farm}",A10),"{link}",G10))</f>
        <v>مرحبًا، جهّزت عرضًا حيًّا ثلاثي الأبعاد لـ iPlant لترى كيف ستبدو مزرعتك: https://your-domain.com/ar/demo?farm=iPlant&amp;utm_source=linkedin&amp;utm_medium=outreach&amp;utm_campaign=outreach-1&amp;utm_content=row-1  ألقِ نظرة، وأخبرني هنا بما تودّ تغييره ليناسب مزرعتك.</v>
      </c>
      <c r="I10" s="9" t="str">
        <f aca="false">IF(OR(A10="",D10=""),"",HYPERLINK("https://wa.me/"&amp;SUBSTITUTE(SUBSTITUTE(SUBSTITUTE(SUBSTITUTE(D10,"+","")," ",""),"-",""),"(","")&amp;"?text="&amp;_xlfn.ENCODEURL(H10),"Send on WhatsApp"))</f>
        <v/>
      </c>
      <c r="J10" s="7" t="s">
        <v>30</v>
      </c>
      <c r="K10" s="10"/>
      <c r="L10" s="7" t="s">
        <v>31</v>
      </c>
    </row>
    <row r="11" customFormat="false" ht="15" hidden="false" customHeight="false" outlineLevel="0" collapsed="false">
      <c r="A11" s="7" t="s">
        <v>32</v>
      </c>
      <c r="B11" s="7"/>
      <c r="C11" s="7" t="s">
        <v>27</v>
      </c>
      <c r="D11" s="7"/>
      <c r="E11" s="7" t="s">
        <v>33</v>
      </c>
      <c r="F11" s="7" t="s">
        <v>29</v>
      </c>
      <c r="G11" s="8" t="str">
        <f aca="false">IF(A11="","",$B$4&amp;"/"&amp;IF(F11="","en",F11)&amp;"/demo?farm="&amp;_xlfn.ENCODEURL(A11)&amp;"&amp;utm_source="&amp;IF(E11="","direct",E11)&amp;"&amp;utm_medium=outreach&amp;utm_campaign="&amp;_xlfn.ENCODEURL($B$5)&amp;"&amp;utm_content=row-2")</f>
        <v>https://your-domain.com/ar/demo?farm=Hypo-Farm&amp;utm_source=whatsapp&amp;utm_medium=outreach&amp;utm_campaign=outreach-1&amp;utm_content=row-2</v>
      </c>
      <c r="H11" s="9" t="str">
        <f aca="false">IF(A11="","",SUBSTITUTE(SUBSTITUTE(SUBSTITUTE(IF(F11="ar",$B$7,$B$6)," {name}",IF(B11="",""," "&amp;B11)),"{farm}",A11),"{link}",G11))</f>
        <v>مرحبًا، جهّزت عرضًا حيًّا ثلاثي الأبعاد لـ Hypo-Farm لترى كيف ستبدو مزرعتك: https://your-domain.com/ar/demo?farm=Hypo-Farm&amp;utm_source=whatsapp&amp;utm_medium=outreach&amp;utm_campaign=outreach-1&amp;utm_content=row-2  ألقِ نظرة، وأخبرني هنا بما تودّ تغييره ليناسب مزرعتك.</v>
      </c>
      <c r="I11" s="9" t="str">
        <f aca="false">IF(OR(A11="",D11=""),"",HYPERLINK("https://wa.me/"&amp;SUBSTITUTE(SUBSTITUTE(SUBSTITUTE(SUBSTITUTE(D11,"+","")," ",""),"-",""),"(","")&amp;"?text="&amp;_xlfn.ENCODEURL(H11),"Send on WhatsApp"))</f>
        <v/>
      </c>
      <c r="J11" s="7" t="s">
        <v>30</v>
      </c>
      <c r="K11" s="10"/>
      <c r="L11" s="7" t="s">
        <v>34</v>
      </c>
    </row>
    <row r="12" customFormat="false" ht="15" hidden="false" customHeight="false" outlineLevel="0" collapsed="false">
      <c r="A12" s="7" t="s">
        <v>35</v>
      </c>
      <c r="B12" s="7"/>
      <c r="C12" s="7" t="s">
        <v>27</v>
      </c>
      <c r="D12" s="7"/>
      <c r="E12" s="7" t="s">
        <v>28</v>
      </c>
      <c r="F12" s="7" t="s">
        <v>29</v>
      </c>
      <c r="G12" s="8" t="str">
        <f aca="false">IF(A12="","",$B$4&amp;"/"&amp;IF(F12="","en",F12)&amp;"/demo?farm="&amp;_xlfn.ENCODEURL(A12)&amp;"&amp;utm_source="&amp;IF(E12="","direct",E12)&amp;"&amp;utm_medium=outreach&amp;utm_campaign="&amp;_xlfn.ENCODEURL($B$5)&amp;"&amp;utm_content=row-3")</f>
        <v>https://your-domain.com/ar/demo?farm=Smart%20Green&amp;utm_source=linkedin&amp;utm_medium=outreach&amp;utm_campaign=outreach-1&amp;utm_content=row-3</v>
      </c>
      <c r="H12" s="9" t="str">
        <f aca="false">IF(A12="","",SUBSTITUTE(SUBSTITUTE(SUBSTITUTE(IF(F12="ar",$B$7,$B$6)," {name}",IF(B12="",""," "&amp;B12)),"{farm}",A12),"{link}",G12))</f>
        <v>مرحبًا، جهّزت عرضًا حيًّا ثلاثي الأبعاد لـ Smart Green لترى كيف ستبدو مزرعتك: https://your-domain.com/ar/demo?farm=Smart%20Green&amp;utm_source=linkedin&amp;utm_medium=outreach&amp;utm_campaign=outreach-1&amp;utm_content=row-3  ألقِ نظرة، وأخبرني هنا بما تودّ تغييره ليناسب مزرعتك.</v>
      </c>
      <c r="I12" s="9" t="str">
        <f aca="false">IF(OR(A12="",D12=""),"",HYPERLINK("https://wa.me/"&amp;SUBSTITUTE(SUBSTITUTE(SUBSTITUTE(SUBSTITUTE(D12,"+","")," ",""),"-",""),"(","")&amp;"?text="&amp;_xlfn.ENCODEURL(H12),"Send on WhatsApp"))</f>
        <v/>
      </c>
      <c r="J12" s="7" t="s">
        <v>30</v>
      </c>
      <c r="K12" s="10"/>
      <c r="L12" s="7" t="s">
        <v>36</v>
      </c>
    </row>
    <row r="13" customFormat="false" ht="15" hidden="false" customHeight="false" outlineLevel="0" collapsed="false">
      <c r="A13" s="7" t="s">
        <v>37</v>
      </c>
      <c r="B13" s="7"/>
      <c r="C13" s="7" t="s">
        <v>27</v>
      </c>
      <c r="D13" s="7"/>
      <c r="E13" s="7" t="s">
        <v>38</v>
      </c>
      <c r="F13" s="7" t="s">
        <v>39</v>
      </c>
      <c r="G13" s="8" t="str">
        <f aca="false">IF(A13="","",$B$4&amp;"/"&amp;IF(F13="","en",F13)&amp;"/demo?farm="&amp;_xlfn.ENCODEURL(A13)&amp;"&amp;utm_source="&amp;IF(E13="","direct",E13)&amp;"&amp;utm_medium=outreach&amp;utm_campaign="&amp;_xlfn.ENCODEURL($B$5)&amp;"&amp;utm_content=row-4")</f>
        <v>https://your-domain.com/en/demo?farm=ECO%20Consult&amp;utm_source=email&amp;utm_medium=outreach&amp;utm_campaign=outreach-1&amp;utm_content=row-4</v>
      </c>
      <c r="H13" s="9" t="str">
        <f aca="false">IF(A13="","",SUBSTITUTE(SUBSTITUTE(SUBSTITUTE(IF(F13="ar",$B$7,$B$6)," {name}",IF(B13="",""," "&amp;B13)),"{farm}",A13),"{link}",G13))</f>
        <v>Hi, I made a live 3D demo of ECO Consult so you can see how it would look: https://your-domain.com/en/demo?farm=ECO%20Consult&amp;utm_source=email&amp;utm_medium=outreach&amp;utm_campaign=outreach-1&amp;utm_content=row-4  Have a look, and reply here with what you'd change for your farm.</v>
      </c>
      <c r="I13" s="9" t="str">
        <f aca="false">IF(OR(A13="",D13=""),"",HYPERLINK("https://wa.me/"&amp;SUBSTITUTE(SUBSTITUTE(SUBSTITUTE(SUBSTITUTE(D13,"+","")," ",""),"-",""),"(","")&amp;"?text="&amp;_xlfn.ENCODEURL(H13),"Send on WhatsApp"))</f>
        <v/>
      </c>
      <c r="J13" s="7" t="s">
        <v>30</v>
      </c>
      <c r="K13" s="10"/>
      <c r="L13" s="7" t="s">
        <v>40</v>
      </c>
    </row>
    <row r="14" customFormat="false" ht="15" hidden="false" customHeight="false" outlineLevel="0" collapsed="false">
      <c r="A14" s="7" t="s">
        <v>41</v>
      </c>
      <c r="B14" s="7"/>
      <c r="C14" s="7" t="s">
        <v>27</v>
      </c>
      <c r="D14" s="7"/>
      <c r="E14" s="7" t="s">
        <v>38</v>
      </c>
      <c r="F14" s="7" t="s">
        <v>29</v>
      </c>
      <c r="G14" s="8" t="str">
        <f aca="false">IF(A14="","",$B$4&amp;"/"&amp;IF(F14="","en",F14)&amp;"/demo?farm="&amp;_xlfn.ENCODEURL(A14)&amp;"&amp;utm_source="&amp;IF(E14="","direct",E14)&amp;"&amp;utm_medium=outreach&amp;utm_campaign="&amp;_xlfn.ENCODEURL($B$5)&amp;"&amp;utm_content=row-5")</f>
        <v>https://your-domain.com/ar/demo?farm=HAED-Jo&amp;utm_source=email&amp;utm_medium=outreach&amp;utm_campaign=outreach-1&amp;utm_content=row-5</v>
      </c>
      <c r="H14" s="9" t="str">
        <f aca="false">IF(A14="","",SUBSTITUTE(SUBSTITUTE(SUBSTITUTE(IF(F14="ar",$B$7,$B$6)," {name}",IF(B14="",""," "&amp;B14)),"{farm}",A14),"{link}",G14))</f>
        <v>مرحبًا، جهّزت عرضًا حيًّا ثلاثي الأبعاد لـ HAED-Jo لترى كيف ستبدو مزرعتك: https://your-domain.com/ar/demo?farm=HAED-Jo&amp;utm_source=email&amp;utm_medium=outreach&amp;utm_campaign=outreach-1&amp;utm_content=row-5  ألقِ نظرة، وأخبرني هنا بما تودّ تغييره ليناسب مزرعتك.</v>
      </c>
      <c r="I14" s="9" t="str">
        <f aca="false">IF(OR(A14="",D14=""),"",HYPERLINK("https://wa.me/"&amp;SUBSTITUTE(SUBSTITUTE(SUBSTITUTE(SUBSTITUTE(D14,"+","")," ",""),"-",""),"(","")&amp;"?text="&amp;_xlfn.ENCODEURL(H14),"Send on WhatsApp"))</f>
        <v/>
      </c>
      <c r="J14" s="7" t="s">
        <v>30</v>
      </c>
      <c r="K14" s="10"/>
      <c r="L14" s="7" t="s">
        <v>42</v>
      </c>
    </row>
    <row r="15" customFormat="false" ht="15" hidden="false" customHeight="false" outlineLevel="0" collapsed="false">
      <c r="A15" s="7" t="s">
        <v>43</v>
      </c>
      <c r="B15" s="7"/>
      <c r="C15" s="7" t="s">
        <v>27</v>
      </c>
      <c r="D15" s="7"/>
      <c r="E15" s="7" t="s">
        <v>38</v>
      </c>
      <c r="F15" s="7" t="s">
        <v>29</v>
      </c>
      <c r="G15" s="8" t="str">
        <f aca="false">IF(A15="","",$B$4&amp;"/"&amp;IF(F15="","en",F15)&amp;"/demo?farm="&amp;_xlfn.ENCODEURL(A15)&amp;"&amp;utm_source="&amp;IF(E15="","direct",E15)&amp;"&amp;utm_medium=outreach&amp;utm_campaign="&amp;_xlfn.ENCODEURL($B$5)&amp;"&amp;utm_content=row-6")</f>
        <v>https://your-domain.com/ar/demo?farm=NARC&amp;utm_source=email&amp;utm_medium=outreach&amp;utm_campaign=outreach-1&amp;utm_content=row-6</v>
      </c>
      <c r="H15" s="9" t="str">
        <f aca="false">IF(A15="","",SUBSTITUTE(SUBSTITUTE(SUBSTITUTE(IF(F15="ar",$B$7,$B$6)," {name}",IF(B15="",""," "&amp;B15)),"{farm}",A15),"{link}",G15))</f>
        <v>مرحبًا، جهّزت عرضًا حيًّا ثلاثي الأبعاد لـ NARC لترى كيف ستبدو مزرعتك: https://your-domain.com/ar/demo?farm=NARC&amp;utm_source=email&amp;utm_medium=outreach&amp;utm_campaign=outreach-1&amp;utm_content=row-6  ألقِ نظرة، وأخبرني هنا بما تودّ تغييره ليناسب مزرعتك.</v>
      </c>
      <c r="I15" s="9" t="str">
        <f aca="false">IF(OR(A15="",D15=""),"",HYPERLINK("https://wa.me/"&amp;SUBSTITUTE(SUBSTITUTE(SUBSTITUTE(SUBSTITUTE(D15,"+","")," ",""),"-",""),"(","")&amp;"?text="&amp;_xlfn.ENCODEURL(H15),"Send on WhatsApp"))</f>
        <v/>
      </c>
      <c r="J15" s="7" t="s">
        <v>30</v>
      </c>
      <c r="K15" s="10"/>
      <c r="L15" s="7" t="s">
        <v>44</v>
      </c>
    </row>
    <row r="16" customFormat="false" ht="15" hidden="false" customHeight="false" outlineLevel="0" collapsed="false">
      <c r="A16" s="7" t="s">
        <v>45</v>
      </c>
      <c r="B16" s="7"/>
      <c r="C16" s="7" t="s">
        <v>27</v>
      </c>
      <c r="D16" s="7"/>
      <c r="E16" s="7" t="s">
        <v>46</v>
      </c>
      <c r="F16" s="7" t="s">
        <v>29</v>
      </c>
      <c r="G16" s="8" t="str">
        <f aca="false">IF(A16="","",$B$4&amp;"/"&amp;IF(F16="","en",F16)&amp;"/demo?farm="&amp;_xlfn.ENCODEURL(A16)&amp;"&amp;utm_source="&amp;IF(E16="","direct",E16)&amp;"&amp;utm_medium=outreach&amp;utm_campaign="&amp;_xlfn.ENCODEURL($B$5)&amp;"&amp;utm_content=row-7")</f>
        <v>https://your-domain.com/ar/demo?farm=Habak&amp;utm_source=other&amp;utm_medium=outreach&amp;utm_campaign=outreach-1&amp;utm_content=row-7</v>
      </c>
      <c r="H16" s="9" t="str">
        <f aca="false">IF(A16="","",SUBSTITUTE(SUBSTITUTE(SUBSTITUTE(IF(F16="ar",$B$7,$B$6)," {name}",IF(B16="",""," "&amp;B16)),"{farm}",A16),"{link}",G16))</f>
        <v>مرحبًا، جهّزت عرضًا حيًّا ثلاثي الأبعاد لـ Habak لترى كيف ستبدو مزرعتك: https://your-domain.com/ar/demo?farm=Habak&amp;utm_source=other&amp;utm_medium=outreach&amp;utm_campaign=outreach-1&amp;utm_content=row-7  ألقِ نظرة، وأخبرني هنا بما تودّ تغييره ليناسب مزرعتك.</v>
      </c>
      <c r="I16" s="9" t="str">
        <f aca="false">IF(OR(A16="",D16=""),"",HYPERLINK("https://wa.me/"&amp;SUBSTITUTE(SUBSTITUTE(SUBSTITUTE(SUBSTITUTE(D16,"+","")," ",""),"-",""),"(","")&amp;"?text="&amp;_xlfn.ENCODEURL(H16),"Send on WhatsApp"))</f>
        <v/>
      </c>
      <c r="J16" s="7" t="s">
        <v>30</v>
      </c>
      <c r="K16" s="10"/>
      <c r="L16" s="7" t="s">
        <v>47</v>
      </c>
    </row>
    <row r="17" customFormat="false" ht="15" hidden="false" customHeight="false" outlineLevel="0" collapsed="false">
      <c r="A17" s="7" t="s">
        <v>48</v>
      </c>
      <c r="B17" s="7"/>
      <c r="C17" s="7" t="s">
        <v>49</v>
      </c>
      <c r="D17" s="7"/>
      <c r="E17" s="7" t="s">
        <v>28</v>
      </c>
      <c r="F17" s="7" t="s">
        <v>39</v>
      </c>
      <c r="G17" s="8" t="str">
        <f aca="false">IF(A17="","",$B$4&amp;"/"&amp;IF(F17="","en",F17)&amp;"/demo?farm="&amp;_xlfn.ENCODEURL(A17)&amp;"&amp;utm_source="&amp;IF(E17="","direct",E17)&amp;"&amp;utm_medium=outreach&amp;utm_campaign="&amp;_xlfn.ENCODEURL($B$5)&amp;"&amp;utm_content=row-8")</f>
        <v>https://your-domain.com/en/demo?farm=Badia%20Farms&amp;utm_source=linkedin&amp;utm_medium=outreach&amp;utm_campaign=outreach-1&amp;utm_content=row-8</v>
      </c>
      <c r="H17" s="9" t="str">
        <f aca="false">IF(A17="","",SUBSTITUTE(SUBSTITUTE(SUBSTITUTE(IF(F17="ar",$B$7,$B$6)," {name}",IF(B17="",""," "&amp;B17)),"{farm}",A17),"{link}",G17))</f>
        <v>Hi, I made a live 3D demo of Badia Farms so you can see how it would look: https://your-domain.com/en/demo?farm=Badia%20Farms&amp;utm_source=linkedin&amp;utm_medium=outreach&amp;utm_campaign=outreach-1&amp;utm_content=row-8  Have a look, and reply here with what you'd change for your farm.</v>
      </c>
      <c r="I17" s="9" t="str">
        <f aca="false">IF(OR(A17="",D17=""),"",HYPERLINK("https://wa.me/"&amp;SUBSTITUTE(SUBSTITUTE(SUBSTITUTE(SUBSTITUTE(D17,"+","")," ",""),"-",""),"(","")&amp;"?text="&amp;_xlfn.ENCODEURL(H17),"Send on WhatsApp"))</f>
        <v/>
      </c>
      <c r="J17" s="7" t="s">
        <v>30</v>
      </c>
      <c r="K17" s="10"/>
      <c r="L17" s="7" t="s">
        <v>50</v>
      </c>
    </row>
    <row r="18" customFormat="false" ht="15" hidden="false" customHeight="false" outlineLevel="0" collapsed="false">
      <c r="A18" s="7" t="s">
        <v>51</v>
      </c>
      <c r="B18" s="7"/>
      <c r="C18" s="7" t="s">
        <v>49</v>
      </c>
      <c r="D18" s="7"/>
      <c r="E18" s="7" t="s">
        <v>28</v>
      </c>
      <c r="F18" s="7" t="s">
        <v>39</v>
      </c>
      <c r="G18" s="8" t="str">
        <f aca="false">IF(A18="","",$B$4&amp;"/"&amp;IF(F18="","en",F18)&amp;"/demo?farm="&amp;_xlfn.ENCODEURL(A18)&amp;"&amp;utm_source="&amp;IF(E18="","direct",E18)&amp;"&amp;utm_medium=outreach&amp;utm_campaign="&amp;_xlfn.ENCODEURL($B$5)&amp;"&amp;utm_content=row-9")</f>
        <v>https://your-domain.com/en/demo?farm=Madar%20Farms&amp;utm_source=linkedin&amp;utm_medium=outreach&amp;utm_campaign=outreach-1&amp;utm_content=row-9</v>
      </c>
      <c r="H18" s="9" t="str">
        <f aca="false">IF(A18="","",SUBSTITUTE(SUBSTITUTE(SUBSTITUTE(IF(F18="ar",$B$7,$B$6)," {name}",IF(B18="",""," "&amp;B18)),"{farm}",A18),"{link}",G18))</f>
        <v>Hi, I made a live 3D demo of Madar Farms so you can see how it would look: https://your-domain.com/en/demo?farm=Madar%20Farms&amp;utm_source=linkedin&amp;utm_medium=outreach&amp;utm_campaign=outreach-1&amp;utm_content=row-9  Have a look, and reply here with what you'd change for your farm.</v>
      </c>
      <c r="I18" s="9" t="str">
        <f aca="false">IF(OR(A18="",D18=""),"",HYPERLINK("https://wa.me/"&amp;SUBSTITUTE(SUBSTITUTE(SUBSTITUTE(SUBSTITUTE(D18,"+","")," ",""),"-",""),"(","")&amp;"?text="&amp;_xlfn.ENCODEURL(H18),"Send on WhatsApp"))</f>
        <v/>
      </c>
      <c r="J18" s="7" t="s">
        <v>30</v>
      </c>
      <c r="K18" s="10"/>
      <c r="L18" s="7" t="s">
        <v>52</v>
      </c>
    </row>
    <row r="19" customFormat="false" ht="15" hidden="false" customHeight="false" outlineLevel="0" collapsed="false">
      <c r="A19" s="7" t="s">
        <v>53</v>
      </c>
      <c r="B19" s="7"/>
      <c r="C19" s="7" t="s">
        <v>49</v>
      </c>
      <c r="D19" s="7"/>
      <c r="E19" s="7" t="s">
        <v>38</v>
      </c>
      <c r="F19" s="7" t="s">
        <v>39</v>
      </c>
      <c r="G19" s="8" t="str">
        <f aca="false">IF(A19="","",$B$4&amp;"/"&amp;IF(F19="","en",F19)&amp;"/demo?farm="&amp;_xlfn.ENCODEURL(A19)&amp;"&amp;utm_source="&amp;IF(E19="","direct",E19)&amp;"&amp;utm_medium=outreach&amp;utm_campaign="&amp;_xlfn.ENCODEURL($B$5)&amp;"&amp;utm_content=row-10")</f>
        <v>https://your-domain.com/en/demo?farm=Emirates%20Hydroponics%20Farms&amp;utm_source=email&amp;utm_medium=outreach&amp;utm_campaign=outreach-1&amp;utm_content=row-10</v>
      </c>
      <c r="H19" s="9" t="str">
        <f aca="false">IF(A19="","",SUBSTITUTE(SUBSTITUTE(SUBSTITUTE(IF(F19="ar",$B$7,$B$6)," {name}",IF(B19="",""," "&amp;B19)),"{farm}",A19),"{link}",G19))</f>
        <v>Hi, I made a live 3D demo of Emirates Hydroponics Farms so you can see how it would look: https://your-domain.com/en/demo?farm=Emirates%20Hydroponics%20Farms&amp;utm_source=email&amp;utm_medium=outreach&amp;utm_campaign=outreach-1&amp;utm_content=row-10  Have a look, and reply here with what you'd change for your farm.</v>
      </c>
      <c r="I19" s="9" t="str">
        <f aca="false">IF(OR(A19="",D19=""),"",HYPERLINK("https://wa.me/"&amp;SUBSTITUTE(SUBSTITUTE(SUBSTITUTE(SUBSTITUTE(D19,"+","")," ",""),"-",""),"(","")&amp;"?text="&amp;_xlfn.ENCODEURL(H19),"Send on WhatsApp"))</f>
        <v/>
      </c>
      <c r="J19" s="7" t="s">
        <v>30</v>
      </c>
      <c r="K19" s="10"/>
      <c r="L19" s="7" t="s">
        <v>54</v>
      </c>
    </row>
    <row r="20" customFormat="false" ht="15" hidden="false" customHeight="false" outlineLevel="0" collapsed="false">
      <c r="A20" s="7" t="s">
        <v>55</v>
      </c>
      <c r="B20" s="7"/>
      <c r="C20" s="7" t="s">
        <v>49</v>
      </c>
      <c r="D20" s="7"/>
      <c r="E20" s="7" t="s">
        <v>28</v>
      </c>
      <c r="F20" s="7" t="s">
        <v>39</v>
      </c>
      <c r="G20" s="8" t="str">
        <f aca="false">IF(A20="","",$B$4&amp;"/"&amp;IF(F20="","en",F20)&amp;"/demo?farm="&amp;_xlfn.ENCODEURL(A20)&amp;"&amp;utm_source="&amp;IF(E20="","direct",E20)&amp;"&amp;utm_medium=outreach&amp;utm_campaign="&amp;_xlfn.ENCODEURL($B$5)&amp;"&amp;utm_content=row-11")</f>
        <v>https://your-domain.com/en/demo?farm=VeggiTech&amp;utm_source=linkedin&amp;utm_medium=outreach&amp;utm_campaign=outreach-1&amp;utm_content=row-11</v>
      </c>
      <c r="H20" s="9" t="str">
        <f aca="false">IF(A20="","",SUBSTITUTE(SUBSTITUTE(SUBSTITUTE(IF(F20="ar",$B$7,$B$6)," {name}",IF(B20="",""," "&amp;B20)),"{farm}",A20),"{link}",G20))</f>
        <v>Hi, I made a live 3D demo of VeggiTech so you can see how it would look: https://your-domain.com/en/demo?farm=VeggiTech&amp;utm_source=linkedin&amp;utm_medium=outreach&amp;utm_campaign=outreach-1&amp;utm_content=row-11  Have a look, and reply here with what you'd change for your farm.</v>
      </c>
      <c r="I20" s="9" t="str">
        <f aca="false">IF(OR(A20="",D20=""),"",HYPERLINK("https://wa.me/"&amp;SUBSTITUTE(SUBSTITUTE(SUBSTITUTE(SUBSTITUTE(D20,"+","")," ",""),"-",""),"(","")&amp;"?text="&amp;_xlfn.ENCODEURL(H20),"Send on WhatsApp"))</f>
        <v/>
      </c>
      <c r="J20" s="7" t="s">
        <v>30</v>
      </c>
      <c r="K20" s="10"/>
      <c r="L20" s="7" t="s">
        <v>56</v>
      </c>
    </row>
    <row r="21" customFormat="false" ht="15" hidden="false" customHeight="false" outlineLevel="0" collapsed="false">
      <c r="A21" s="7" t="s">
        <v>57</v>
      </c>
      <c r="B21" s="7"/>
      <c r="C21" s="7" t="s">
        <v>49</v>
      </c>
      <c r="D21" s="7"/>
      <c r="E21" s="7" t="s">
        <v>28</v>
      </c>
      <c r="F21" s="7" t="s">
        <v>39</v>
      </c>
      <c r="G21" s="8" t="str">
        <f aca="false">IF(A21="","",$B$4&amp;"/"&amp;IF(F21="","en",F21)&amp;"/demo?farm="&amp;_xlfn.ENCODEURL(A21)&amp;"&amp;utm_source="&amp;IF(E21="","direct",E21)&amp;"&amp;utm_medium=outreach&amp;utm_campaign="&amp;_xlfn.ENCODEURL($B$5)&amp;"&amp;utm_content=row-12")</f>
        <v>https://your-domain.com/en/demo?farm=Emirates%20Bustanica&amp;utm_source=linkedin&amp;utm_medium=outreach&amp;utm_campaign=outreach-1&amp;utm_content=row-12</v>
      </c>
      <c r="H21" s="9" t="str">
        <f aca="false">IF(A21="","",SUBSTITUTE(SUBSTITUTE(SUBSTITUTE(IF(F21="ar",$B$7,$B$6)," {name}",IF(B21="",""," "&amp;B21)),"{farm}",A21),"{link}",G21))</f>
        <v>Hi, I made a live 3D demo of Emirates Bustanica so you can see how it would look: https://your-domain.com/en/demo?farm=Emirates%20Bustanica&amp;utm_source=linkedin&amp;utm_medium=outreach&amp;utm_campaign=outreach-1&amp;utm_content=row-12  Have a look, and reply here with what you'd change for your farm.</v>
      </c>
      <c r="I21" s="9" t="str">
        <f aca="false">IF(OR(A21="",D21=""),"",HYPERLINK("https://wa.me/"&amp;SUBSTITUTE(SUBSTITUTE(SUBSTITUTE(SUBSTITUTE(D21,"+","")," ",""),"-",""),"(","")&amp;"?text="&amp;_xlfn.ENCODEURL(H21),"Send on WhatsApp"))</f>
        <v/>
      </c>
      <c r="J21" s="7" t="s">
        <v>30</v>
      </c>
      <c r="K21" s="10"/>
      <c r="L21" s="7" t="s">
        <v>58</v>
      </c>
    </row>
    <row r="22" customFormat="false" ht="15" hidden="false" customHeight="false" outlineLevel="0" collapsed="false">
      <c r="A22" s="7" t="s">
        <v>59</v>
      </c>
      <c r="B22" s="7"/>
      <c r="C22" s="7" t="s">
        <v>49</v>
      </c>
      <c r="D22" s="7"/>
      <c r="E22" s="7" t="s">
        <v>28</v>
      </c>
      <c r="F22" s="7" t="s">
        <v>39</v>
      </c>
      <c r="G22" s="8" t="str">
        <f aca="false">IF(A22="","",$B$4&amp;"/"&amp;IF(F22="","en",F22)&amp;"/demo?farm="&amp;_xlfn.ENCODEURL(A22)&amp;"&amp;utm_source="&amp;IF(E22="","direct",E22)&amp;"&amp;utm_medium=outreach&amp;utm_campaign="&amp;_xlfn.ENCODEURL($B$5)&amp;"&amp;utm_content=row-13")</f>
        <v>https://your-domain.com/en/demo?farm=Pure%20Harvest%20Smart%20Farms&amp;utm_source=linkedin&amp;utm_medium=outreach&amp;utm_campaign=outreach-1&amp;utm_content=row-13</v>
      </c>
      <c r="H22" s="9" t="str">
        <f aca="false">IF(A22="","",SUBSTITUTE(SUBSTITUTE(SUBSTITUTE(IF(F22="ar",$B$7,$B$6)," {name}",IF(B22="",""," "&amp;B22)),"{farm}",A22),"{link}",G22))</f>
        <v>Hi, I made a live 3D demo of Pure Harvest Smart Farms so you can see how it would look: https://your-domain.com/en/demo?farm=Pure%20Harvest%20Smart%20Farms&amp;utm_source=linkedin&amp;utm_medium=outreach&amp;utm_campaign=outreach-1&amp;utm_content=row-13  Have a look, and reply here with what you'd change for your farm.</v>
      </c>
      <c r="I22" s="9" t="str">
        <f aca="false">IF(OR(A22="",D22=""),"",HYPERLINK("https://wa.me/"&amp;SUBSTITUTE(SUBSTITUTE(SUBSTITUTE(SUBSTITUTE(D22,"+","")," ",""),"-",""),"(","")&amp;"?text="&amp;_xlfn.ENCODEURL(H22),"Send on WhatsApp"))</f>
        <v/>
      </c>
      <c r="J22" s="7" t="s">
        <v>30</v>
      </c>
      <c r="K22" s="10"/>
      <c r="L22" s="7" t="s">
        <v>60</v>
      </c>
    </row>
    <row r="23" customFormat="false" ht="15" hidden="false" customHeight="false" outlineLevel="0" collapsed="false">
      <c r="A23" s="7" t="s">
        <v>61</v>
      </c>
      <c r="B23" s="7"/>
      <c r="C23" s="7" t="s">
        <v>49</v>
      </c>
      <c r="D23" s="7"/>
      <c r="E23" s="7" t="s">
        <v>28</v>
      </c>
      <c r="F23" s="7" t="s">
        <v>39</v>
      </c>
      <c r="G23" s="8" t="str">
        <f aca="false">IF(A23="","",$B$4&amp;"/"&amp;IF(F23="","en",F23)&amp;"/demo?farm="&amp;_xlfn.ENCODEURL(A23)&amp;"&amp;utm_source="&amp;IF(E23="","direct",E23)&amp;"&amp;utm_medium=outreach&amp;utm_campaign="&amp;_xlfn.ENCODEURL($B$5)&amp;"&amp;utm_content=row-14")</f>
        <v>https://your-domain.com/en/demo?farm=iFarm&amp;utm_source=linkedin&amp;utm_medium=outreach&amp;utm_campaign=outreach-1&amp;utm_content=row-14</v>
      </c>
      <c r="H23" s="9" t="str">
        <f aca="false">IF(A23="","",SUBSTITUTE(SUBSTITUTE(SUBSTITUTE(IF(F23="ar",$B$7,$B$6)," {name}",IF(B23="",""," "&amp;B23)),"{farm}",A23),"{link}",G23))</f>
        <v>Hi, I made a live 3D demo of iFarm so you can see how it would look: https://your-domain.com/en/demo?farm=iFarm&amp;utm_source=linkedin&amp;utm_medium=outreach&amp;utm_campaign=outreach-1&amp;utm_content=row-14  Have a look, and reply here with what you'd change for your farm.</v>
      </c>
      <c r="I23" s="9" t="str">
        <f aca="false">IF(OR(A23="",D23=""),"",HYPERLINK("https://wa.me/"&amp;SUBSTITUTE(SUBSTITUTE(SUBSTITUTE(SUBSTITUTE(D23,"+","")," ",""),"-",""),"(","")&amp;"?text="&amp;_xlfn.ENCODEURL(H23),"Send on WhatsApp"))</f>
        <v/>
      </c>
      <c r="J23" s="7" t="s">
        <v>30</v>
      </c>
      <c r="K23" s="10"/>
      <c r="L23" s="7" t="s">
        <v>62</v>
      </c>
    </row>
    <row r="24" customFormat="false" ht="15" hidden="false" customHeight="false" outlineLevel="0" collapsed="false">
      <c r="A24" s="7" t="s">
        <v>63</v>
      </c>
      <c r="B24" s="7"/>
      <c r="C24" s="7" t="s">
        <v>49</v>
      </c>
      <c r="D24" s="7"/>
      <c r="E24" s="7" t="s">
        <v>38</v>
      </c>
      <c r="F24" s="7" t="s">
        <v>39</v>
      </c>
      <c r="G24" s="8" t="str">
        <f aca="false">IF(A24="","",$B$4&amp;"/"&amp;IF(F24="","en",F24)&amp;"/demo?farm="&amp;_xlfn.ENCODEURL(A24)&amp;"&amp;utm_source="&amp;IF(E24="","direct",E24)&amp;"&amp;utm_medium=outreach&amp;utm_campaign="&amp;_xlfn.ENCODEURL($B$5)&amp;"&amp;utm_content=row-15")</f>
        <v>https://your-domain.com/en/demo?farm=ICBA&amp;utm_source=email&amp;utm_medium=outreach&amp;utm_campaign=outreach-1&amp;utm_content=row-15</v>
      </c>
      <c r="H24" s="9" t="str">
        <f aca="false">IF(A24="","",SUBSTITUTE(SUBSTITUTE(SUBSTITUTE(IF(F24="ar",$B$7,$B$6)," {name}",IF(B24="",""," "&amp;B24)),"{farm}",A24),"{link}",G24))</f>
        <v>Hi, I made a live 3D demo of ICBA so you can see how it would look: https://your-domain.com/en/demo?farm=ICBA&amp;utm_source=email&amp;utm_medium=outreach&amp;utm_campaign=outreach-1&amp;utm_content=row-15  Have a look, and reply here with what you'd change for your farm.</v>
      </c>
      <c r="I24" s="9" t="str">
        <f aca="false">IF(OR(A24="",D24=""),"",HYPERLINK("https://wa.me/"&amp;SUBSTITUTE(SUBSTITUTE(SUBSTITUTE(SUBSTITUTE(D24,"+","")," ",""),"-",""),"(","")&amp;"?text="&amp;_xlfn.ENCODEURL(H24),"Send on WhatsApp"))</f>
        <v/>
      </c>
      <c r="J24" s="7" t="s">
        <v>30</v>
      </c>
      <c r="K24" s="10"/>
      <c r="L24" s="7" t="s">
        <v>64</v>
      </c>
    </row>
    <row r="25" customFormat="false" ht="15" hidden="false" customHeight="false" outlineLevel="0" collapsed="false">
      <c r="A25" s="7" t="s">
        <v>65</v>
      </c>
      <c r="B25" s="7"/>
      <c r="C25" s="7" t="s">
        <v>66</v>
      </c>
      <c r="D25" s="7"/>
      <c r="E25" s="7" t="s">
        <v>28</v>
      </c>
      <c r="F25" s="7" t="s">
        <v>29</v>
      </c>
      <c r="G25" s="8" t="str">
        <f aca="false">IF(A25="","",$B$4&amp;"/"&amp;IF(F25="","en",F25)&amp;"/demo?farm="&amp;_xlfn.ENCODEURL(A25)&amp;"&amp;utm_source="&amp;IF(E25="","direct",E25)&amp;"&amp;utm_medium=outreach&amp;utm_campaign="&amp;_xlfn.ENCODEURL($B$5)&amp;"&amp;utm_content=row-16")</f>
        <v>https://your-domain.com/ar/demo?farm=Bather%20Smart%20Farm&amp;utm_source=linkedin&amp;utm_medium=outreach&amp;utm_campaign=outreach-1&amp;utm_content=row-16</v>
      </c>
      <c r="H25" s="9" t="str">
        <f aca="false">IF(A25="","",SUBSTITUTE(SUBSTITUTE(SUBSTITUTE(IF(F25="ar",$B$7,$B$6)," {name}",IF(B25="",""," "&amp;B25)),"{farm}",A25),"{link}",G25))</f>
        <v>مرحبًا، جهّزت عرضًا حيًّا ثلاثي الأبعاد لـ Bather Smart Farm لترى كيف ستبدو مزرعتك: https://your-domain.com/ar/demo?farm=Bather%20Smart%20Farm&amp;utm_source=linkedin&amp;utm_medium=outreach&amp;utm_campaign=outreach-1&amp;utm_content=row-16  ألقِ نظرة، وأخبرني هنا بما تودّ تغييره ليناسب مزرعتك.</v>
      </c>
      <c r="I25" s="9" t="str">
        <f aca="false">IF(OR(A25="",D25=""),"",HYPERLINK("https://wa.me/"&amp;SUBSTITUTE(SUBSTITUTE(SUBSTITUTE(SUBSTITUTE(D25,"+","")," ",""),"-",""),"(","")&amp;"?text="&amp;_xlfn.ENCODEURL(H25),"Send on WhatsApp"))</f>
        <v/>
      </c>
      <c r="J25" s="7" t="s">
        <v>30</v>
      </c>
      <c r="K25" s="10"/>
      <c r="L25" s="7" t="s">
        <v>67</v>
      </c>
    </row>
    <row r="26" customFormat="false" ht="15" hidden="false" customHeight="false" outlineLevel="0" collapsed="false">
      <c r="A26" s="7" t="s">
        <v>68</v>
      </c>
      <c r="B26" s="7"/>
      <c r="C26" s="7" t="s">
        <v>66</v>
      </c>
      <c r="D26" s="7"/>
      <c r="E26" s="7" t="s">
        <v>46</v>
      </c>
      <c r="F26" s="7" t="s">
        <v>29</v>
      </c>
      <c r="G26" s="8" t="str">
        <f aca="false">IF(A26="","",$B$4&amp;"/"&amp;IF(F26="","en",F26)&amp;"/demo?farm="&amp;_xlfn.ENCODEURL(A26)&amp;"&amp;utm_source="&amp;IF(E26="","direct",E26)&amp;"&amp;utm_medium=outreach&amp;utm_campaign="&amp;_xlfn.ENCODEURL($B$5)&amp;"&amp;utm_content=row-17")</f>
        <v>https://your-domain.com/ar/demo?farm=Mojan%20Farms&amp;utm_source=other&amp;utm_medium=outreach&amp;utm_campaign=outreach-1&amp;utm_content=row-17</v>
      </c>
      <c r="H26" s="9" t="str">
        <f aca="false">IF(A26="","",SUBSTITUTE(SUBSTITUTE(SUBSTITUTE(IF(F26="ar",$B$7,$B$6)," {name}",IF(B26="",""," "&amp;B26)),"{farm}",A26),"{link}",G26))</f>
        <v>مرحبًا، جهّزت عرضًا حيًّا ثلاثي الأبعاد لـ Mojan Farms لترى كيف ستبدو مزرعتك: https://your-domain.com/ar/demo?farm=Mojan%20Farms&amp;utm_source=other&amp;utm_medium=outreach&amp;utm_campaign=outreach-1&amp;utm_content=row-17  ألقِ نظرة، وأخبرني هنا بما تودّ تغييره ليناسب مزرعتك.</v>
      </c>
      <c r="I26" s="9" t="str">
        <f aca="false">IF(OR(A26="",D26=""),"",HYPERLINK("https://wa.me/"&amp;SUBSTITUTE(SUBSTITUTE(SUBSTITUTE(SUBSTITUTE(D26,"+","")," ",""),"-",""),"(","")&amp;"?text="&amp;_xlfn.ENCODEURL(H26),"Send on WhatsApp"))</f>
        <v/>
      </c>
      <c r="J26" s="7" t="s">
        <v>30</v>
      </c>
      <c r="K26" s="10"/>
      <c r="L26" s="7" t="s">
        <v>69</v>
      </c>
    </row>
    <row r="27" customFormat="false" ht="15" hidden="false" customHeight="false" outlineLevel="0" collapsed="false">
      <c r="A27" s="7" t="s">
        <v>70</v>
      </c>
      <c r="B27" s="7"/>
      <c r="C27" s="7" t="s">
        <v>66</v>
      </c>
      <c r="D27" s="7"/>
      <c r="E27" s="7" t="s">
        <v>28</v>
      </c>
      <c r="F27" s="7" t="s">
        <v>29</v>
      </c>
      <c r="G27" s="8" t="str">
        <f aca="false">IF(A27="","",$B$4&amp;"/"&amp;IF(F27="","en",F27)&amp;"/demo?farm="&amp;_xlfn.ENCODEURL(A27)&amp;"&amp;utm_source="&amp;IF(E27="","direct",E27)&amp;"&amp;utm_medium=outreach&amp;utm_campaign="&amp;_xlfn.ENCODEURL($B$5)&amp;"&amp;utm_content=row-18")</f>
        <v>https://your-domain.com/ar/demo?farm=Vertical%20Farms%20Company&amp;utm_source=linkedin&amp;utm_medium=outreach&amp;utm_campaign=outreach-1&amp;utm_content=row-18</v>
      </c>
      <c r="H27" s="9" t="str">
        <f aca="false">IF(A27="","",SUBSTITUTE(SUBSTITUTE(SUBSTITUTE(IF(F27="ar",$B$7,$B$6)," {name}",IF(B27="",""," "&amp;B27)),"{farm}",A27),"{link}",G27))</f>
        <v>مرحبًا، جهّزت عرضًا حيًّا ثلاثي الأبعاد لـ Vertical Farms Company لترى كيف ستبدو مزرعتك: https://your-domain.com/ar/demo?farm=Vertical%20Farms%20Company&amp;utm_source=linkedin&amp;utm_medium=outreach&amp;utm_campaign=outreach-1&amp;utm_content=row-18  ألقِ نظرة، وأخبرني هنا بما تودّ تغييره ليناسب مزرعتك.</v>
      </c>
      <c r="I27" s="9" t="str">
        <f aca="false">IF(OR(A27="",D27=""),"",HYPERLINK("https://wa.me/"&amp;SUBSTITUTE(SUBSTITUTE(SUBSTITUTE(SUBSTITUTE(D27,"+","")," ",""),"-",""),"(","")&amp;"?text="&amp;_xlfn.ENCODEURL(H27),"Send on WhatsApp"))</f>
        <v/>
      </c>
      <c r="J27" s="7" t="s">
        <v>30</v>
      </c>
      <c r="K27" s="10"/>
      <c r="L27" s="7" t="s">
        <v>71</v>
      </c>
    </row>
    <row r="28" customFormat="false" ht="15" hidden="false" customHeight="false" outlineLevel="0" collapsed="false">
      <c r="A28" s="7" t="s">
        <v>72</v>
      </c>
      <c r="B28" s="7"/>
      <c r="C28" s="7" t="s">
        <v>66</v>
      </c>
      <c r="D28" s="7"/>
      <c r="E28" s="7" t="s">
        <v>28</v>
      </c>
      <c r="F28" s="7" t="s">
        <v>39</v>
      </c>
      <c r="G28" s="8" t="str">
        <f aca="false">IF(A28="","",$B$4&amp;"/"&amp;IF(F28="","en",F28)&amp;"/demo?farm="&amp;_xlfn.ENCODEURL(A28)&amp;"&amp;utm_source="&amp;IF(E28="","direct",E28)&amp;"&amp;utm_medium=outreach&amp;utm_campaign="&amp;_xlfn.ENCODEURL($B$5)&amp;"&amp;utm_content=row-19")</f>
        <v>https://your-domain.com/en/demo?farm=RedSea&amp;utm_source=linkedin&amp;utm_medium=outreach&amp;utm_campaign=outreach-1&amp;utm_content=row-19</v>
      </c>
      <c r="H28" s="9" t="str">
        <f aca="false">IF(A28="","",SUBSTITUTE(SUBSTITUTE(SUBSTITUTE(IF(F28="ar",$B$7,$B$6)," {name}",IF(B28="",""," "&amp;B28)),"{farm}",A28),"{link}",G28))</f>
        <v>Hi, I made a live 3D demo of RedSea so you can see how it would look: https://your-domain.com/en/demo?farm=RedSea&amp;utm_source=linkedin&amp;utm_medium=outreach&amp;utm_campaign=outreach-1&amp;utm_content=row-19  Have a look, and reply here with what you'd change for your farm.</v>
      </c>
      <c r="I28" s="9" t="str">
        <f aca="false">IF(OR(A28="",D28=""),"",HYPERLINK("https://wa.me/"&amp;SUBSTITUTE(SUBSTITUTE(SUBSTITUTE(SUBSTITUTE(D28,"+","")," ",""),"-",""),"(","")&amp;"?text="&amp;_xlfn.ENCODEURL(H28),"Send on WhatsApp"))</f>
        <v/>
      </c>
      <c r="J28" s="7" t="s">
        <v>30</v>
      </c>
      <c r="K28" s="10"/>
      <c r="L28" s="7" t="s">
        <v>73</v>
      </c>
    </row>
    <row r="29" customFormat="false" ht="15" hidden="false" customHeight="false" outlineLevel="0" collapsed="false">
      <c r="A29" s="7" t="s">
        <v>74</v>
      </c>
      <c r="B29" s="7"/>
      <c r="C29" s="7" t="s">
        <v>66</v>
      </c>
      <c r="D29" s="7"/>
      <c r="E29" s="7" t="s">
        <v>38</v>
      </c>
      <c r="F29" s="7" t="s">
        <v>39</v>
      </c>
      <c r="G29" s="8" t="str">
        <f aca="false">IF(A29="","",$B$4&amp;"/"&amp;IF(F29="","en",F29)&amp;"/demo?farm="&amp;_xlfn.ENCODEURL(A29)&amp;"&amp;utm_source="&amp;IF(E29="","direct",E29)&amp;"&amp;utm_medium=outreach&amp;utm_campaign="&amp;_xlfn.ENCODEURL($B$5)&amp;"&amp;utm_content=row-20")</f>
        <v>https://your-domain.com/en/demo?farm=KAUST%20Center%20for%20Desert%20Agriculture&amp;utm_source=email&amp;utm_medium=outreach&amp;utm_campaign=outreach-1&amp;utm_content=row-20</v>
      </c>
      <c r="H29" s="9" t="str">
        <f aca="false">IF(A29="","",SUBSTITUTE(SUBSTITUTE(SUBSTITUTE(IF(F29="ar",$B$7,$B$6)," {name}",IF(B29="",""," "&amp;B29)),"{farm}",A29),"{link}",G29))</f>
        <v>Hi, I made a live 3D demo of KAUST Center for Desert Agriculture so you can see how it would look: https://your-domain.com/en/demo?farm=KAUST%20Center%20for%20Desert%20Agriculture&amp;utm_source=email&amp;utm_medium=outreach&amp;utm_campaign=outreach-1&amp;utm_content=row-20  Have a look, and reply here with what you'd change for your farm.</v>
      </c>
      <c r="I29" s="9" t="str">
        <f aca="false">IF(OR(A29="",D29=""),"",HYPERLINK("https://wa.me/"&amp;SUBSTITUTE(SUBSTITUTE(SUBSTITUTE(SUBSTITUTE(D29,"+","")," ",""),"-",""),"(","")&amp;"?text="&amp;_xlfn.ENCODEURL(H29),"Send on WhatsApp"))</f>
        <v/>
      </c>
      <c r="J29" s="7" t="s">
        <v>30</v>
      </c>
      <c r="K29" s="10"/>
      <c r="L29" s="7" t="s">
        <v>75</v>
      </c>
    </row>
    <row r="30" customFormat="false" ht="15" hidden="false" customHeight="false" outlineLevel="0" collapsed="false">
      <c r="A30" s="7" t="s">
        <v>76</v>
      </c>
      <c r="B30" s="7"/>
      <c r="C30" s="7" t="s">
        <v>66</v>
      </c>
      <c r="D30" s="7"/>
      <c r="E30" s="7" t="s">
        <v>38</v>
      </c>
      <c r="F30" s="7" t="s">
        <v>29</v>
      </c>
      <c r="G30" s="8" t="str">
        <f aca="false">IF(A30="","",$B$4&amp;"/"&amp;IF(F30="","en",F30)&amp;"/demo?farm="&amp;_xlfn.ENCODEURL(A30)&amp;"&amp;utm_source="&amp;IF(E30="","direct",E30)&amp;"&amp;utm_medium=outreach&amp;utm_campaign="&amp;_xlfn.ENCODEURL($B$5)&amp;"&amp;utm_content=row-21")</f>
        <v>https://your-domain.com/ar/demo?farm=KACST%20Green%20CEA%20Centre&amp;utm_source=email&amp;utm_medium=outreach&amp;utm_campaign=outreach-1&amp;utm_content=row-21</v>
      </c>
      <c r="H30" s="9" t="str">
        <f aca="false">IF(A30="","",SUBSTITUTE(SUBSTITUTE(SUBSTITUTE(IF(F30="ar",$B$7,$B$6)," {name}",IF(B30="",""," "&amp;B30)),"{farm}",A30),"{link}",G30))</f>
        <v>مرحبًا، جهّزت عرضًا حيًّا ثلاثي الأبعاد لـ KACST Green CEA Centre لترى كيف ستبدو مزرعتك: https://your-domain.com/ar/demo?farm=KACST%20Green%20CEA%20Centre&amp;utm_source=email&amp;utm_medium=outreach&amp;utm_campaign=outreach-1&amp;utm_content=row-21  ألقِ نظرة، وأخبرني هنا بما تودّ تغييره ليناسب مزرعتك.</v>
      </c>
      <c r="I30" s="9" t="str">
        <f aca="false">IF(OR(A30="",D30=""),"",HYPERLINK("https://wa.me/"&amp;SUBSTITUTE(SUBSTITUTE(SUBSTITUTE(SUBSTITUTE(D30,"+","")," ",""),"-",""),"(","")&amp;"?text="&amp;_xlfn.ENCODEURL(H30),"Send on WhatsApp"))</f>
        <v/>
      </c>
      <c r="J30" s="7" t="s">
        <v>30</v>
      </c>
      <c r="K30" s="10"/>
      <c r="L30" s="7" t="s">
        <v>44</v>
      </c>
    </row>
    <row r="31" customFormat="false" ht="15" hidden="false" customHeight="false" outlineLevel="0" collapsed="false">
      <c r="A31" s="7" t="s">
        <v>77</v>
      </c>
      <c r="B31" s="7"/>
      <c r="C31" s="7" t="s">
        <v>66</v>
      </c>
      <c r="D31" s="7"/>
      <c r="E31" s="7" t="s">
        <v>28</v>
      </c>
      <c r="F31" s="7" t="s">
        <v>29</v>
      </c>
      <c r="G31" s="8" t="str">
        <f aca="false">IF(A31="","",$B$4&amp;"/"&amp;IF(F31="","en",F31)&amp;"/demo?farm="&amp;_xlfn.ENCODEURL(A31)&amp;"&amp;utm_source="&amp;IF(E31="","direct",E31)&amp;"&amp;utm_medium=outreach&amp;utm_campaign="&amp;_xlfn.ENCODEURL($B$5)&amp;"&amp;utm_content=row-22")</f>
        <v>https://your-domain.com/ar/demo?farm=Desert%20Agriculture&amp;utm_source=linkedin&amp;utm_medium=outreach&amp;utm_campaign=outreach-1&amp;utm_content=row-22</v>
      </c>
      <c r="H31" s="9" t="str">
        <f aca="false">IF(A31="","",SUBSTITUTE(SUBSTITUTE(SUBSTITUTE(IF(F31="ar",$B$7,$B$6)," {name}",IF(B31="",""," "&amp;B31)),"{farm}",A31),"{link}",G31))</f>
        <v>مرحبًا، جهّزت عرضًا حيًّا ثلاثي الأبعاد لـ Desert Agriculture لترى كيف ستبدو مزرعتك: https://your-domain.com/ar/demo?farm=Desert%20Agriculture&amp;utm_source=linkedin&amp;utm_medium=outreach&amp;utm_campaign=outreach-1&amp;utm_content=row-22  ألقِ نظرة، وأخبرني هنا بما تودّ تغييره ليناسب مزرعتك.</v>
      </c>
      <c r="I31" s="9" t="str">
        <f aca="false">IF(OR(A31="",D31=""),"",HYPERLINK("https://wa.me/"&amp;SUBSTITUTE(SUBSTITUTE(SUBSTITUTE(SUBSTITUTE(D31,"+","")," ",""),"-",""),"(","")&amp;"?text="&amp;_xlfn.ENCODEURL(H31),"Send on WhatsApp"))</f>
        <v/>
      </c>
      <c r="J31" s="7" t="s">
        <v>30</v>
      </c>
      <c r="K31" s="10"/>
      <c r="L31" s="7" t="s">
        <v>78</v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8" t="str">
        <f aca="false">IF(A32="","",$B$4&amp;"/"&amp;IF(F32="","en",F32)&amp;"/demo?farm="&amp;_xlfn.ENCODEURL(A32)&amp;"&amp;utm_source="&amp;IF(E32="","direct",E32)&amp;"&amp;utm_medium=outreach&amp;utm_campaign="&amp;_xlfn.ENCODEURL($B$5)&amp;"&amp;utm_content=row-23")</f>
        <v/>
      </c>
      <c r="H32" s="9" t="str">
        <f aca="false">IF(A32="","",SUBSTITUTE(SUBSTITUTE(SUBSTITUTE(IF(F32="ar",$B$7,$B$6)," {name}",IF(B32="",""," "&amp;B32)),"{farm}",A32),"{link}",G32))</f>
        <v/>
      </c>
      <c r="I32" s="9" t="str">
        <f aca="false">IF(OR(A32="",D32=""),"",HYPERLINK("https://wa.me/"&amp;SUBSTITUTE(SUBSTITUTE(SUBSTITUTE(SUBSTITUTE(D32,"+","")," ",""),"-",""),"(","")&amp;"?text="&amp;_xlfn.ENCODEURL(H32),"Send on WhatsApp"))</f>
        <v/>
      </c>
      <c r="J32" s="7"/>
      <c r="K32" s="10"/>
      <c r="L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8" t="str">
        <f aca="false">IF(A33="","",$B$4&amp;"/"&amp;IF(F33="","en",F33)&amp;"/demo?farm="&amp;_xlfn.ENCODEURL(A33)&amp;"&amp;utm_source="&amp;IF(E33="","direct",E33)&amp;"&amp;utm_medium=outreach&amp;utm_campaign="&amp;_xlfn.ENCODEURL($B$5)&amp;"&amp;utm_content=row-24")</f>
        <v/>
      </c>
      <c r="H33" s="9" t="str">
        <f aca="false">IF(A33="","",SUBSTITUTE(SUBSTITUTE(SUBSTITUTE(IF(F33="ar",$B$7,$B$6)," {name}",IF(B33="",""," "&amp;B33)),"{farm}",A33),"{link}",G33))</f>
        <v/>
      </c>
      <c r="I33" s="9" t="str">
        <f aca="false">IF(OR(A33="",D33=""),"",HYPERLINK("https://wa.me/"&amp;SUBSTITUTE(SUBSTITUTE(SUBSTITUTE(SUBSTITUTE(D33,"+","")," ",""),"-",""),"(","")&amp;"?text="&amp;_xlfn.ENCODEURL(H33),"Send on WhatsApp"))</f>
        <v/>
      </c>
      <c r="J33" s="7"/>
      <c r="K33" s="10"/>
      <c r="L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8" t="str">
        <f aca="false">IF(A34="","",$B$4&amp;"/"&amp;IF(F34="","en",F34)&amp;"/demo?farm="&amp;_xlfn.ENCODEURL(A34)&amp;"&amp;utm_source="&amp;IF(E34="","direct",E34)&amp;"&amp;utm_medium=outreach&amp;utm_campaign="&amp;_xlfn.ENCODEURL($B$5)&amp;"&amp;utm_content=row-25")</f>
        <v/>
      </c>
      <c r="H34" s="9" t="str">
        <f aca="false">IF(A34="","",SUBSTITUTE(SUBSTITUTE(SUBSTITUTE(IF(F34="ar",$B$7,$B$6)," {name}",IF(B34="",""," "&amp;B34)),"{farm}",A34),"{link}",G34))</f>
        <v/>
      </c>
      <c r="I34" s="9" t="str">
        <f aca="false">IF(OR(A34="",D34=""),"",HYPERLINK("https://wa.me/"&amp;SUBSTITUTE(SUBSTITUTE(SUBSTITUTE(SUBSTITUTE(D34,"+","")," ",""),"-",""),"(","")&amp;"?text="&amp;_xlfn.ENCODEURL(H34),"Send on WhatsApp"))</f>
        <v/>
      </c>
      <c r="J34" s="7"/>
      <c r="K34" s="10"/>
      <c r="L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8" t="str">
        <f aca="false">IF(A35="","",$B$4&amp;"/"&amp;IF(F35="","en",F35)&amp;"/demo?farm="&amp;_xlfn.ENCODEURL(A35)&amp;"&amp;utm_source="&amp;IF(E35="","direct",E35)&amp;"&amp;utm_medium=outreach&amp;utm_campaign="&amp;_xlfn.ENCODEURL($B$5)&amp;"&amp;utm_content=row-26")</f>
        <v/>
      </c>
      <c r="H35" s="9" t="str">
        <f aca="false">IF(A35="","",SUBSTITUTE(SUBSTITUTE(SUBSTITUTE(IF(F35="ar",$B$7,$B$6)," {name}",IF(B35="",""," "&amp;B35)),"{farm}",A35),"{link}",G35))</f>
        <v/>
      </c>
      <c r="I35" s="9" t="str">
        <f aca="false">IF(OR(A35="",D35=""),"",HYPERLINK("https://wa.me/"&amp;SUBSTITUTE(SUBSTITUTE(SUBSTITUTE(SUBSTITUTE(D35,"+","")," ",""),"-",""),"(","")&amp;"?text="&amp;_xlfn.ENCODEURL(H35),"Send on WhatsApp"))</f>
        <v/>
      </c>
      <c r="J35" s="7"/>
      <c r="K35" s="10"/>
      <c r="L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8" t="str">
        <f aca="false">IF(A36="","",$B$4&amp;"/"&amp;IF(F36="","en",F36)&amp;"/demo?farm="&amp;_xlfn.ENCODEURL(A36)&amp;"&amp;utm_source="&amp;IF(E36="","direct",E36)&amp;"&amp;utm_medium=outreach&amp;utm_campaign="&amp;_xlfn.ENCODEURL($B$5)&amp;"&amp;utm_content=row-27")</f>
        <v/>
      </c>
      <c r="H36" s="9" t="str">
        <f aca="false">IF(A36="","",SUBSTITUTE(SUBSTITUTE(SUBSTITUTE(IF(F36="ar",$B$7,$B$6)," {name}",IF(B36="",""," "&amp;B36)),"{farm}",A36),"{link}",G36))</f>
        <v/>
      </c>
      <c r="I36" s="9" t="str">
        <f aca="false">IF(OR(A36="",D36=""),"",HYPERLINK("https://wa.me/"&amp;SUBSTITUTE(SUBSTITUTE(SUBSTITUTE(SUBSTITUTE(D36,"+","")," ",""),"-",""),"(","")&amp;"?text="&amp;_xlfn.ENCODEURL(H36),"Send on WhatsApp"))</f>
        <v/>
      </c>
      <c r="J36" s="7"/>
      <c r="K36" s="10"/>
      <c r="L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8" t="str">
        <f aca="false">IF(A37="","",$B$4&amp;"/"&amp;IF(F37="","en",F37)&amp;"/demo?farm="&amp;_xlfn.ENCODEURL(A37)&amp;"&amp;utm_source="&amp;IF(E37="","direct",E37)&amp;"&amp;utm_medium=outreach&amp;utm_campaign="&amp;_xlfn.ENCODEURL($B$5)&amp;"&amp;utm_content=row-28")</f>
        <v/>
      </c>
      <c r="H37" s="9" t="str">
        <f aca="false">IF(A37="","",SUBSTITUTE(SUBSTITUTE(SUBSTITUTE(IF(F37="ar",$B$7,$B$6)," {name}",IF(B37="",""," "&amp;B37)),"{farm}",A37),"{link}",G37))</f>
        <v/>
      </c>
      <c r="I37" s="9" t="str">
        <f aca="false">IF(OR(A37="",D37=""),"",HYPERLINK("https://wa.me/"&amp;SUBSTITUTE(SUBSTITUTE(SUBSTITUTE(SUBSTITUTE(D37,"+","")," ",""),"-",""),"(","")&amp;"?text="&amp;_xlfn.ENCODEURL(H37),"Send on WhatsApp"))</f>
        <v/>
      </c>
      <c r="J37" s="7"/>
      <c r="K37" s="10"/>
      <c r="L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8" t="str">
        <f aca="false">IF(A38="","",$B$4&amp;"/"&amp;IF(F38="","en",F38)&amp;"/demo?farm="&amp;_xlfn.ENCODEURL(A38)&amp;"&amp;utm_source="&amp;IF(E38="","direct",E38)&amp;"&amp;utm_medium=outreach&amp;utm_campaign="&amp;_xlfn.ENCODEURL($B$5)&amp;"&amp;utm_content=row-29")</f>
        <v/>
      </c>
      <c r="H38" s="9" t="str">
        <f aca="false">IF(A38="","",SUBSTITUTE(SUBSTITUTE(SUBSTITUTE(IF(F38="ar",$B$7,$B$6)," {name}",IF(B38="",""," "&amp;B38)),"{farm}",A38),"{link}",G38))</f>
        <v/>
      </c>
      <c r="I38" s="9" t="str">
        <f aca="false">IF(OR(A38="",D38=""),"",HYPERLINK("https://wa.me/"&amp;SUBSTITUTE(SUBSTITUTE(SUBSTITUTE(SUBSTITUTE(D38,"+","")," ",""),"-",""),"(","")&amp;"?text="&amp;_xlfn.ENCODEURL(H38),"Send on WhatsApp"))</f>
        <v/>
      </c>
      <c r="J38" s="7"/>
      <c r="K38" s="10"/>
      <c r="L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8" t="str">
        <f aca="false">IF(A39="","",$B$4&amp;"/"&amp;IF(F39="","en",F39)&amp;"/demo?farm="&amp;_xlfn.ENCODEURL(A39)&amp;"&amp;utm_source="&amp;IF(E39="","direct",E39)&amp;"&amp;utm_medium=outreach&amp;utm_campaign="&amp;_xlfn.ENCODEURL($B$5)&amp;"&amp;utm_content=row-30")</f>
        <v/>
      </c>
      <c r="H39" s="9" t="str">
        <f aca="false">IF(A39="","",SUBSTITUTE(SUBSTITUTE(SUBSTITUTE(IF(F39="ar",$B$7,$B$6)," {name}",IF(B39="",""," "&amp;B39)),"{farm}",A39),"{link}",G39))</f>
        <v/>
      </c>
      <c r="I39" s="9" t="str">
        <f aca="false">IF(OR(A39="",D39=""),"",HYPERLINK("https://wa.me/"&amp;SUBSTITUTE(SUBSTITUTE(SUBSTITUTE(SUBSTITUTE(D39,"+","")," ",""),"-",""),"(","")&amp;"?text="&amp;_xlfn.ENCODEURL(H39),"Send on WhatsApp"))</f>
        <v/>
      </c>
      <c r="J39" s="7"/>
      <c r="K39" s="10"/>
      <c r="L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8" t="str">
        <f aca="false">IF(A40="","",$B$4&amp;"/"&amp;IF(F40="","en",F40)&amp;"/demo?farm="&amp;_xlfn.ENCODEURL(A40)&amp;"&amp;utm_source="&amp;IF(E40="","direct",E40)&amp;"&amp;utm_medium=outreach&amp;utm_campaign="&amp;_xlfn.ENCODEURL($B$5)&amp;"&amp;utm_content=row-31")</f>
        <v/>
      </c>
      <c r="H40" s="9" t="str">
        <f aca="false">IF(A40="","",SUBSTITUTE(SUBSTITUTE(SUBSTITUTE(IF(F40="ar",$B$7,$B$6)," {name}",IF(B40="",""," "&amp;B40)),"{farm}",A40),"{link}",G40))</f>
        <v/>
      </c>
      <c r="I40" s="9" t="str">
        <f aca="false">IF(OR(A40="",D40=""),"",HYPERLINK("https://wa.me/"&amp;SUBSTITUTE(SUBSTITUTE(SUBSTITUTE(SUBSTITUTE(D40,"+","")," ",""),"-",""),"(","")&amp;"?text="&amp;_xlfn.ENCODEURL(H40),"Send on WhatsApp"))</f>
        <v/>
      </c>
      <c r="J40" s="7"/>
      <c r="K40" s="10"/>
      <c r="L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8" t="str">
        <f aca="false">IF(A41="","",$B$4&amp;"/"&amp;IF(F41="","en",F41)&amp;"/demo?farm="&amp;_xlfn.ENCODEURL(A41)&amp;"&amp;utm_source="&amp;IF(E41="","direct",E41)&amp;"&amp;utm_medium=outreach&amp;utm_campaign="&amp;_xlfn.ENCODEURL($B$5)&amp;"&amp;utm_content=row-32")</f>
        <v/>
      </c>
      <c r="H41" s="9" t="str">
        <f aca="false">IF(A41="","",SUBSTITUTE(SUBSTITUTE(SUBSTITUTE(IF(F41="ar",$B$7,$B$6)," {name}",IF(B41="",""," "&amp;B41)),"{farm}",A41),"{link}",G41))</f>
        <v/>
      </c>
      <c r="I41" s="9" t="str">
        <f aca="false">IF(OR(A41="",D41=""),"",HYPERLINK("https://wa.me/"&amp;SUBSTITUTE(SUBSTITUTE(SUBSTITUTE(SUBSTITUTE(D41,"+","")," ",""),"-",""),"(","")&amp;"?text="&amp;_xlfn.ENCODEURL(H41),"Send on WhatsApp"))</f>
        <v/>
      </c>
      <c r="J41" s="7"/>
      <c r="K41" s="10"/>
      <c r="L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8" t="str">
        <f aca="false">IF(A42="","",$B$4&amp;"/"&amp;IF(F42="","en",F42)&amp;"/demo?farm="&amp;_xlfn.ENCODEURL(A42)&amp;"&amp;utm_source="&amp;IF(E42="","direct",E42)&amp;"&amp;utm_medium=outreach&amp;utm_campaign="&amp;_xlfn.ENCODEURL($B$5)&amp;"&amp;utm_content=row-33")</f>
        <v/>
      </c>
      <c r="H42" s="9" t="str">
        <f aca="false">IF(A42="","",SUBSTITUTE(SUBSTITUTE(SUBSTITUTE(IF(F42="ar",$B$7,$B$6)," {name}",IF(B42="",""," "&amp;B42)),"{farm}",A42),"{link}",G42))</f>
        <v/>
      </c>
      <c r="I42" s="9" t="str">
        <f aca="false">IF(OR(A42="",D42=""),"",HYPERLINK("https://wa.me/"&amp;SUBSTITUTE(SUBSTITUTE(SUBSTITUTE(SUBSTITUTE(D42,"+","")," ",""),"-",""),"(","")&amp;"?text="&amp;_xlfn.ENCODEURL(H42),"Send on WhatsApp"))</f>
        <v/>
      </c>
      <c r="J42" s="7"/>
      <c r="K42" s="10"/>
      <c r="L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8" t="str">
        <f aca="false">IF(A43="","",$B$4&amp;"/"&amp;IF(F43="","en",F43)&amp;"/demo?farm="&amp;_xlfn.ENCODEURL(A43)&amp;"&amp;utm_source="&amp;IF(E43="","direct",E43)&amp;"&amp;utm_medium=outreach&amp;utm_campaign="&amp;_xlfn.ENCODEURL($B$5)&amp;"&amp;utm_content=row-34")</f>
        <v/>
      </c>
      <c r="H43" s="9" t="str">
        <f aca="false">IF(A43="","",SUBSTITUTE(SUBSTITUTE(SUBSTITUTE(IF(F43="ar",$B$7,$B$6)," {name}",IF(B43="",""," "&amp;B43)),"{farm}",A43),"{link}",G43))</f>
        <v/>
      </c>
      <c r="I43" s="9" t="str">
        <f aca="false">IF(OR(A43="",D43=""),"",HYPERLINK("https://wa.me/"&amp;SUBSTITUTE(SUBSTITUTE(SUBSTITUTE(SUBSTITUTE(D43,"+","")," ",""),"-",""),"(","")&amp;"?text="&amp;_xlfn.ENCODEURL(H43),"Send on WhatsApp"))</f>
        <v/>
      </c>
      <c r="J43" s="7"/>
      <c r="K43" s="10"/>
      <c r="L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8" t="str">
        <f aca="false">IF(A44="","",$B$4&amp;"/"&amp;IF(F44="","en",F44)&amp;"/demo?farm="&amp;_xlfn.ENCODEURL(A44)&amp;"&amp;utm_source="&amp;IF(E44="","direct",E44)&amp;"&amp;utm_medium=outreach&amp;utm_campaign="&amp;_xlfn.ENCODEURL($B$5)&amp;"&amp;utm_content=row-35")</f>
        <v/>
      </c>
      <c r="H44" s="9" t="str">
        <f aca="false">IF(A44="","",SUBSTITUTE(SUBSTITUTE(SUBSTITUTE(IF(F44="ar",$B$7,$B$6)," {name}",IF(B44="",""," "&amp;B44)),"{farm}",A44),"{link}",G44))</f>
        <v/>
      </c>
      <c r="I44" s="9" t="str">
        <f aca="false">IF(OR(A44="",D44=""),"",HYPERLINK("https://wa.me/"&amp;SUBSTITUTE(SUBSTITUTE(SUBSTITUTE(SUBSTITUTE(D44,"+","")," ",""),"-",""),"(","")&amp;"?text="&amp;_xlfn.ENCODEURL(H44),"Send on WhatsApp"))</f>
        <v/>
      </c>
      <c r="J44" s="7"/>
      <c r="K44" s="10"/>
      <c r="L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8" t="str">
        <f aca="false">IF(A45="","",$B$4&amp;"/"&amp;IF(F45="","en",F45)&amp;"/demo?farm="&amp;_xlfn.ENCODEURL(A45)&amp;"&amp;utm_source="&amp;IF(E45="","direct",E45)&amp;"&amp;utm_medium=outreach&amp;utm_campaign="&amp;_xlfn.ENCODEURL($B$5)&amp;"&amp;utm_content=row-36")</f>
        <v/>
      </c>
      <c r="H45" s="9" t="str">
        <f aca="false">IF(A45="","",SUBSTITUTE(SUBSTITUTE(SUBSTITUTE(IF(F45="ar",$B$7,$B$6)," {name}",IF(B45="",""," "&amp;B45)),"{farm}",A45),"{link}",G45))</f>
        <v/>
      </c>
      <c r="I45" s="9" t="str">
        <f aca="false">IF(OR(A45="",D45=""),"",HYPERLINK("https://wa.me/"&amp;SUBSTITUTE(SUBSTITUTE(SUBSTITUTE(SUBSTITUTE(D45,"+","")," ",""),"-",""),"(","")&amp;"?text="&amp;_xlfn.ENCODEURL(H45),"Send on WhatsApp"))</f>
        <v/>
      </c>
      <c r="J45" s="7"/>
      <c r="K45" s="10"/>
      <c r="L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8" t="str">
        <f aca="false">IF(A46="","",$B$4&amp;"/"&amp;IF(F46="","en",F46)&amp;"/demo?farm="&amp;_xlfn.ENCODEURL(A46)&amp;"&amp;utm_source="&amp;IF(E46="","direct",E46)&amp;"&amp;utm_medium=outreach&amp;utm_campaign="&amp;_xlfn.ENCODEURL($B$5)&amp;"&amp;utm_content=row-37")</f>
        <v/>
      </c>
      <c r="H46" s="9" t="str">
        <f aca="false">IF(A46="","",SUBSTITUTE(SUBSTITUTE(SUBSTITUTE(IF(F46="ar",$B$7,$B$6)," {name}",IF(B46="",""," "&amp;B46)),"{farm}",A46),"{link}",G46))</f>
        <v/>
      </c>
      <c r="I46" s="9" t="str">
        <f aca="false">IF(OR(A46="",D46=""),"",HYPERLINK("https://wa.me/"&amp;SUBSTITUTE(SUBSTITUTE(SUBSTITUTE(SUBSTITUTE(D46,"+","")," ",""),"-",""),"(","")&amp;"?text="&amp;_xlfn.ENCODEURL(H46),"Send on WhatsApp"))</f>
        <v/>
      </c>
      <c r="J46" s="7"/>
      <c r="K46" s="10"/>
      <c r="L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8" t="str">
        <f aca="false">IF(A47="","",$B$4&amp;"/"&amp;IF(F47="","en",F47)&amp;"/demo?farm="&amp;_xlfn.ENCODEURL(A47)&amp;"&amp;utm_source="&amp;IF(E47="","direct",E47)&amp;"&amp;utm_medium=outreach&amp;utm_campaign="&amp;_xlfn.ENCODEURL($B$5)&amp;"&amp;utm_content=row-38")</f>
        <v/>
      </c>
      <c r="H47" s="9" t="str">
        <f aca="false">IF(A47="","",SUBSTITUTE(SUBSTITUTE(SUBSTITUTE(IF(F47="ar",$B$7,$B$6)," {name}",IF(B47="",""," "&amp;B47)),"{farm}",A47),"{link}",G47))</f>
        <v/>
      </c>
      <c r="I47" s="9" t="str">
        <f aca="false">IF(OR(A47="",D47=""),"",HYPERLINK("https://wa.me/"&amp;SUBSTITUTE(SUBSTITUTE(SUBSTITUTE(SUBSTITUTE(D47,"+","")," ",""),"-",""),"(","")&amp;"?text="&amp;_xlfn.ENCODEURL(H47),"Send on WhatsApp"))</f>
        <v/>
      </c>
      <c r="J47" s="7"/>
      <c r="K47" s="10"/>
      <c r="L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8" t="str">
        <f aca="false">IF(A48="","",$B$4&amp;"/"&amp;IF(F48="","en",F48)&amp;"/demo?farm="&amp;_xlfn.ENCODEURL(A48)&amp;"&amp;utm_source="&amp;IF(E48="","direct",E48)&amp;"&amp;utm_medium=outreach&amp;utm_campaign="&amp;_xlfn.ENCODEURL($B$5)&amp;"&amp;utm_content=row-39")</f>
        <v/>
      </c>
      <c r="H48" s="9" t="str">
        <f aca="false">IF(A48="","",SUBSTITUTE(SUBSTITUTE(SUBSTITUTE(IF(F48="ar",$B$7,$B$6)," {name}",IF(B48="",""," "&amp;B48)),"{farm}",A48),"{link}",G48))</f>
        <v/>
      </c>
      <c r="I48" s="9" t="str">
        <f aca="false">IF(OR(A48="",D48=""),"",HYPERLINK("https://wa.me/"&amp;SUBSTITUTE(SUBSTITUTE(SUBSTITUTE(SUBSTITUTE(D48,"+","")," ",""),"-",""),"(","")&amp;"?text="&amp;_xlfn.ENCODEURL(H48),"Send on WhatsApp"))</f>
        <v/>
      </c>
      <c r="J48" s="7"/>
      <c r="K48" s="10"/>
      <c r="L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8" t="str">
        <f aca="false">IF(A49="","",$B$4&amp;"/"&amp;IF(F49="","en",F49)&amp;"/demo?farm="&amp;_xlfn.ENCODEURL(A49)&amp;"&amp;utm_source="&amp;IF(E49="","direct",E49)&amp;"&amp;utm_medium=outreach&amp;utm_campaign="&amp;_xlfn.ENCODEURL($B$5)&amp;"&amp;utm_content=row-40")</f>
        <v/>
      </c>
      <c r="H49" s="9" t="str">
        <f aca="false">IF(A49="","",SUBSTITUTE(SUBSTITUTE(SUBSTITUTE(IF(F49="ar",$B$7,$B$6)," {name}",IF(B49="",""," "&amp;B49)),"{farm}",A49),"{link}",G49))</f>
        <v/>
      </c>
      <c r="I49" s="9" t="str">
        <f aca="false">IF(OR(A49="",D49=""),"",HYPERLINK("https://wa.me/"&amp;SUBSTITUTE(SUBSTITUTE(SUBSTITUTE(SUBSTITUTE(D49,"+","")," ",""),"-",""),"(","")&amp;"?text="&amp;_xlfn.ENCODEURL(H49),"Send on WhatsApp"))</f>
        <v/>
      </c>
      <c r="J49" s="7"/>
      <c r="K49" s="10"/>
      <c r="L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8" t="str">
        <f aca="false">IF(A50="","",$B$4&amp;"/"&amp;IF(F50="","en",F50)&amp;"/demo?farm="&amp;_xlfn.ENCODEURL(A50)&amp;"&amp;utm_source="&amp;IF(E50="","direct",E50)&amp;"&amp;utm_medium=outreach&amp;utm_campaign="&amp;_xlfn.ENCODEURL($B$5)&amp;"&amp;utm_content=row-41")</f>
        <v/>
      </c>
      <c r="H50" s="9" t="str">
        <f aca="false">IF(A50="","",SUBSTITUTE(SUBSTITUTE(SUBSTITUTE(IF(F50="ar",$B$7,$B$6)," {name}",IF(B50="",""," "&amp;B50)),"{farm}",A50),"{link}",G50))</f>
        <v/>
      </c>
      <c r="I50" s="9" t="str">
        <f aca="false">IF(OR(A50="",D50=""),"",HYPERLINK("https://wa.me/"&amp;SUBSTITUTE(SUBSTITUTE(SUBSTITUTE(SUBSTITUTE(D50,"+","")," ",""),"-",""),"(","")&amp;"?text="&amp;_xlfn.ENCODEURL(H50),"Send on WhatsApp"))</f>
        <v/>
      </c>
      <c r="J50" s="7"/>
      <c r="K50" s="10"/>
      <c r="L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8" t="str">
        <f aca="false">IF(A51="","",$B$4&amp;"/"&amp;IF(F51="","en",F51)&amp;"/demo?farm="&amp;_xlfn.ENCODEURL(A51)&amp;"&amp;utm_source="&amp;IF(E51="","direct",E51)&amp;"&amp;utm_medium=outreach&amp;utm_campaign="&amp;_xlfn.ENCODEURL($B$5)&amp;"&amp;utm_content=row-42")</f>
        <v/>
      </c>
      <c r="H51" s="9" t="str">
        <f aca="false">IF(A51="","",SUBSTITUTE(SUBSTITUTE(SUBSTITUTE(IF(F51="ar",$B$7,$B$6)," {name}",IF(B51="",""," "&amp;B51)),"{farm}",A51),"{link}",G51))</f>
        <v/>
      </c>
      <c r="I51" s="9" t="str">
        <f aca="false">IF(OR(A51="",D51=""),"",HYPERLINK("https://wa.me/"&amp;SUBSTITUTE(SUBSTITUTE(SUBSTITUTE(SUBSTITUTE(D51,"+","")," ",""),"-",""),"(","")&amp;"?text="&amp;_xlfn.ENCODEURL(H51),"Send on WhatsApp"))</f>
        <v/>
      </c>
      <c r="J51" s="7"/>
      <c r="K51" s="10"/>
      <c r="L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8" t="str">
        <f aca="false">IF(A52="","",$B$4&amp;"/"&amp;IF(F52="","en",F52)&amp;"/demo?farm="&amp;_xlfn.ENCODEURL(A52)&amp;"&amp;utm_source="&amp;IF(E52="","direct",E52)&amp;"&amp;utm_medium=outreach&amp;utm_campaign="&amp;_xlfn.ENCODEURL($B$5)&amp;"&amp;utm_content=row-43")</f>
        <v/>
      </c>
      <c r="H52" s="9" t="str">
        <f aca="false">IF(A52="","",SUBSTITUTE(SUBSTITUTE(SUBSTITUTE(IF(F52="ar",$B$7,$B$6)," {name}",IF(B52="",""," "&amp;B52)),"{farm}",A52),"{link}",G52))</f>
        <v/>
      </c>
      <c r="I52" s="9" t="str">
        <f aca="false">IF(OR(A52="",D52=""),"",HYPERLINK("https://wa.me/"&amp;SUBSTITUTE(SUBSTITUTE(SUBSTITUTE(SUBSTITUTE(D52,"+","")," ",""),"-",""),"(","")&amp;"?text="&amp;_xlfn.ENCODEURL(H52),"Send on WhatsApp"))</f>
        <v/>
      </c>
      <c r="J52" s="7"/>
      <c r="K52" s="10"/>
      <c r="L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8" t="str">
        <f aca="false">IF(A53="","",$B$4&amp;"/"&amp;IF(F53="","en",F53)&amp;"/demo?farm="&amp;_xlfn.ENCODEURL(A53)&amp;"&amp;utm_source="&amp;IF(E53="","direct",E53)&amp;"&amp;utm_medium=outreach&amp;utm_campaign="&amp;_xlfn.ENCODEURL($B$5)&amp;"&amp;utm_content=row-44")</f>
        <v/>
      </c>
      <c r="H53" s="9" t="str">
        <f aca="false">IF(A53="","",SUBSTITUTE(SUBSTITUTE(SUBSTITUTE(IF(F53="ar",$B$7,$B$6)," {name}",IF(B53="",""," "&amp;B53)),"{farm}",A53),"{link}",G53))</f>
        <v/>
      </c>
      <c r="I53" s="9" t="str">
        <f aca="false">IF(OR(A53="",D53=""),"",HYPERLINK("https://wa.me/"&amp;SUBSTITUTE(SUBSTITUTE(SUBSTITUTE(SUBSTITUTE(D53,"+","")," ",""),"-",""),"(","")&amp;"?text="&amp;_xlfn.ENCODEURL(H53),"Send on WhatsApp"))</f>
        <v/>
      </c>
      <c r="J53" s="7"/>
      <c r="K53" s="10"/>
      <c r="L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8" t="str">
        <f aca="false">IF(A54="","",$B$4&amp;"/"&amp;IF(F54="","en",F54)&amp;"/demo?farm="&amp;_xlfn.ENCODEURL(A54)&amp;"&amp;utm_source="&amp;IF(E54="","direct",E54)&amp;"&amp;utm_medium=outreach&amp;utm_campaign="&amp;_xlfn.ENCODEURL($B$5)&amp;"&amp;utm_content=row-45")</f>
        <v/>
      </c>
      <c r="H54" s="9" t="str">
        <f aca="false">IF(A54="","",SUBSTITUTE(SUBSTITUTE(SUBSTITUTE(IF(F54="ar",$B$7,$B$6)," {name}",IF(B54="",""," "&amp;B54)),"{farm}",A54),"{link}",G54))</f>
        <v/>
      </c>
      <c r="I54" s="9" t="str">
        <f aca="false">IF(OR(A54="",D54=""),"",HYPERLINK("https://wa.me/"&amp;SUBSTITUTE(SUBSTITUTE(SUBSTITUTE(SUBSTITUTE(D54,"+","")," ",""),"-",""),"(","")&amp;"?text="&amp;_xlfn.ENCODEURL(H54),"Send on WhatsApp"))</f>
        <v/>
      </c>
      <c r="J54" s="7"/>
      <c r="K54" s="10"/>
      <c r="L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8" t="str">
        <f aca="false">IF(A55="","",$B$4&amp;"/"&amp;IF(F55="","en",F55)&amp;"/demo?farm="&amp;_xlfn.ENCODEURL(A55)&amp;"&amp;utm_source="&amp;IF(E55="","direct",E55)&amp;"&amp;utm_medium=outreach&amp;utm_campaign="&amp;_xlfn.ENCODEURL($B$5)&amp;"&amp;utm_content=row-46")</f>
        <v/>
      </c>
      <c r="H55" s="9" t="str">
        <f aca="false">IF(A55="","",SUBSTITUTE(SUBSTITUTE(SUBSTITUTE(IF(F55="ar",$B$7,$B$6)," {name}",IF(B55="",""," "&amp;B55)),"{farm}",A55),"{link}",G55))</f>
        <v/>
      </c>
      <c r="I55" s="9" t="str">
        <f aca="false">IF(OR(A55="",D55=""),"",HYPERLINK("https://wa.me/"&amp;SUBSTITUTE(SUBSTITUTE(SUBSTITUTE(SUBSTITUTE(D55,"+","")," ",""),"-",""),"(","")&amp;"?text="&amp;_xlfn.ENCODEURL(H55),"Send on WhatsApp"))</f>
        <v/>
      </c>
      <c r="J55" s="7"/>
      <c r="K55" s="10"/>
      <c r="L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8" t="str">
        <f aca="false">IF(A56="","",$B$4&amp;"/"&amp;IF(F56="","en",F56)&amp;"/demo?farm="&amp;_xlfn.ENCODEURL(A56)&amp;"&amp;utm_source="&amp;IF(E56="","direct",E56)&amp;"&amp;utm_medium=outreach&amp;utm_campaign="&amp;_xlfn.ENCODEURL($B$5)&amp;"&amp;utm_content=row-47")</f>
        <v/>
      </c>
      <c r="H56" s="9" t="str">
        <f aca="false">IF(A56="","",SUBSTITUTE(SUBSTITUTE(SUBSTITUTE(IF(F56="ar",$B$7,$B$6)," {name}",IF(B56="",""," "&amp;B56)),"{farm}",A56),"{link}",G56))</f>
        <v/>
      </c>
      <c r="I56" s="9" t="str">
        <f aca="false">IF(OR(A56="",D56=""),"",HYPERLINK("https://wa.me/"&amp;SUBSTITUTE(SUBSTITUTE(SUBSTITUTE(SUBSTITUTE(D56,"+","")," ",""),"-",""),"(","")&amp;"?text="&amp;_xlfn.ENCODEURL(H56),"Send on WhatsApp"))</f>
        <v/>
      </c>
      <c r="J56" s="7"/>
      <c r="K56" s="10"/>
      <c r="L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8" t="str">
        <f aca="false">IF(A57="","",$B$4&amp;"/"&amp;IF(F57="","en",F57)&amp;"/demo?farm="&amp;_xlfn.ENCODEURL(A57)&amp;"&amp;utm_source="&amp;IF(E57="","direct",E57)&amp;"&amp;utm_medium=outreach&amp;utm_campaign="&amp;_xlfn.ENCODEURL($B$5)&amp;"&amp;utm_content=row-48")</f>
        <v/>
      </c>
      <c r="H57" s="9" t="str">
        <f aca="false">IF(A57="","",SUBSTITUTE(SUBSTITUTE(SUBSTITUTE(IF(F57="ar",$B$7,$B$6)," {name}",IF(B57="",""," "&amp;B57)),"{farm}",A57),"{link}",G57))</f>
        <v/>
      </c>
      <c r="I57" s="9" t="str">
        <f aca="false">IF(OR(A57="",D57=""),"",HYPERLINK("https://wa.me/"&amp;SUBSTITUTE(SUBSTITUTE(SUBSTITUTE(SUBSTITUTE(D57,"+","")," ",""),"-",""),"(","")&amp;"?text="&amp;_xlfn.ENCODEURL(H57),"Send on WhatsApp"))</f>
        <v/>
      </c>
      <c r="J57" s="7"/>
      <c r="K57" s="10"/>
      <c r="L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8" t="str">
        <f aca="false">IF(A58="","",$B$4&amp;"/"&amp;IF(F58="","en",F58)&amp;"/demo?farm="&amp;_xlfn.ENCODEURL(A58)&amp;"&amp;utm_source="&amp;IF(E58="","direct",E58)&amp;"&amp;utm_medium=outreach&amp;utm_campaign="&amp;_xlfn.ENCODEURL($B$5)&amp;"&amp;utm_content=row-49")</f>
        <v/>
      </c>
      <c r="H58" s="9" t="str">
        <f aca="false">IF(A58="","",SUBSTITUTE(SUBSTITUTE(SUBSTITUTE(IF(F58="ar",$B$7,$B$6)," {name}",IF(B58="",""," "&amp;B58)),"{farm}",A58),"{link}",G58))</f>
        <v/>
      </c>
      <c r="I58" s="9" t="str">
        <f aca="false">IF(OR(A58="",D58=""),"",HYPERLINK("https://wa.me/"&amp;SUBSTITUTE(SUBSTITUTE(SUBSTITUTE(SUBSTITUTE(D58,"+","")," ",""),"-",""),"(","")&amp;"?text="&amp;_xlfn.ENCODEURL(H58),"Send on WhatsApp"))</f>
        <v/>
      </c>
      <c r="J58" s="7"/>
      <c r="K58" s="10"/>
      <c r="L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8" t="str">
        <f aca="false">IF(A59="","",$B$4&amp;"/"&amp;IF(F59="","en",F59)&amp;"/demo?farm="&amp;_xlfn.ENCODEURL(A59)&amp;"&amp;utm_source="&amp;IF(E59="","direct",E59)&amp;"&amp;utm_medium=outreach&amp;utm_campaign="&amp;_xlfn.ENCODEURL($B$5)&amp;"&amp;utm_content=row-50")</f>
        <v/>
      </c>
      <c r="H59" s="9" t="str">
        <f aca="false">IF(A59="","",SUBSTITUTE(SUBSTITUTE(SUBSTITUTE(IF(F59="ar",$B$7,$B$6)," {name}",IF(B59="",""," "&amp;B59)),"{farm}",A59),"{link}",G59))</f>
        <v/>
      </c>
      <c r="I59" s="9" t="str">
        <f aca="false">IF(OR(A59="",D59=""),"",HYPERLINK("https://wa.me/"&amp;SUBSTITUTE(SUBSTITUTE(SUBSTITUTE(SUBSTITUTE(D59,"+","")," ",""),"-",""),"(","")&amp;"?text="&amp;_xlfn.ENCODEURL(H59),"Send on WhatsApp"))</f>
        <v/>
      </c>
      <c r="J59" s="7"/>
      <c r="K59" s="10"/>
      <c r="L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8" t="str">
        <f aca="false">IF(A60="","",$B$4&amp;"/"&amp;IF(F60="","en",F60)&amp;"/demo?farm="&amp;_xlfn.ENCODEURL(A60)&amp;"&amp;utm_source="&amp;IF(E60="","direct",E60)&amp;"&amp;utm_medium=outreach&amp;utm_campaign="&amp;_xlfn.ENCODEURL($B$5)&amp;"&amp;utm_content=row-51")</f>
        <v/>
      </c>
      <c r="H60" s="9" t="str">
        <f aca="false">IF(A60="","",SUBSTITUTE(SUBSTITUTE(SUBSTITUTE(IF(F60="ar",$B$7,$B$6)," {name}",IF(B60="",""," "&amp;B60)),"{farm}",A60),"{link}",G60))</f>
        <v/>
      </c>
      <c r="I60" s="9" t="str">
        <f aca="false">IF(OR(A60="",D60=""),"",HYPERLINK("https://wa.me/"&amp;SUBSTITUTE(SUBSTITUTE(SUBSTITUTE(SUBSTITUTE(D60,"+","")," ",""),"-",""),"(","")&amp;"?text="&amp;_xlfn.ENCODEURL(H60),"Send on WhatsApp"))</f>
        <v/>
      </c>
      <c r="J60" s="7"/>
      <c r="K60" s="10"/>
      <c r="L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8" t="str">
        <f aca="false">IF(A61="","",$B$4&amp;"/"&amp;IF(F61="","en",F61)&amp;"/demo?farm="&amp;_xlfn.ENCODEURL(A61)&amp;"&amp;utm_source="&amp;IF(E61="","direct",E61)&amp;"&amp;utm_medium=outreach&amp;utm_campaign="&amp;_xlfn.ENCODEURL($B$5)&amp;"&amp;utm_content=row-52")</f>
        <v/>
      </c>
      <c r="H61" s="9" t="str">
        <f aca="false">IF(A61="","",SUBSTITUTE(SUBSTITUTE(SUBSTITUTE(IF(F61="ar",$B$7,$B$6)," {name}",IF(B61="",""," "&amp;B61)),"{farm}",A61),"{link}",G61))</f>
        <v/>
      </c>
      <c r="I61" s="9" t="str">
        <f aca="false">IF(OR(A61="",D61=""),"",HYPERLINK("https://wa.me/"&amp;SUBSTITUTE(SUBSTITUTE(SUBSTITUTE(SUBSTITUTE(D61,"+","")," ",""),"-",""),"(","")&amp;"?text="&amp;_xlfn.ENCODEURL(H61),"Send on WhatsApp"))</f>
        <v/>
      </c>
      <c r="J61" s="7"/>
      <c r="K61" s="10"/>
      <c r="L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8" t="str">
        <f aca="false">IF(A62="","",$B$4&amp;"/"&amp;IF(F62="","en",F62)&amp;"/demo?farm="&amp;_xlfn.ENCODEURL(A62)&amp;"&amp;utm_source="&amp;IF(E62="","direct",E62)&amp;"&amp;utm_medium=outreach&amp;utm_campaign="&amp;_xlfn.ENCODEURL($B$5)&amp;"&amp;utm_content=row-53")</f>
        <v/>
      </c>
      <c r="H62" s="9" t="str">
        <f aca="false">IF(A62="","",SUBSTITUTE(SUBSTITUTE(SUBSTITUTE(IF(F62="ar",$B$7,$B$6)," {name}",IF(B62="",""," "&amp;B62)),"{farm}",A62),"{link}",G62))</f>
        <v/>
      </c>
      <c r="I62" s="9" t="str">
        <f aca="false">IF(OR(A62="",D62=""),"",HYPERLINK("https://wa.me/"&amp;SUBSTITUTE(SUBSTITUTE(SUBSTITUTE(SUBSTITUTE(D62,"+","")," ",""),"-",""),"(","")&amp;"?text="&amp;_xlfn.ENCODEURL(H62),"Send on WhatsApp"))</f>
        <v/>
      </c>
      <c r="J62" s="7"/>
      <c r="K62" s="10"/>
      <c r="L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8" t="str">
        <f aca="false">IF(A63="","",$B$4&amp;"/"&amp;IF(F63="","en",F63)&amp;"/demo?farm="&amp;_xlfn.ENCODEURL(A63)&amp;"&amp;utm_source="&amp;IF(E63="","direct",E63)&amp;"&amp;utm_medium=outreach&amp;utm_campaign="&amp;_xlfn.ENCODEURL($B$5)&amp;"&amp;utm_content=row-54")</f>
        <v/>
      </c>
      <c r="H63" s="9" t="str">
        <f aca="false">IF(A63="","",SUBSTITUTE(SUBSTITUTE(SUBSTITUTE(IF(F63="ar",$B$7,$B$6)," {name}",IF(B63="",""," "&amp;B63)),"{farm}",A63),"{link}",G63))</f>
        <v/>
      </c>
      <c r="I63" s="9" t="str">
        <f aca="false">IF(OR(A63="",D63=""),"",HYPERLINK("https://wa.me/"&amp;SUBSTITUTE(SUBSTITUTE(SUBSTITUTE(SUBSTITUTE(D63,"+","")," ",""),"-",""),"(","")&amp;"?text="&amp;_xlfn.ENCODEURL(H63),"Send on WhatsApp"))</f>
        <v/>
      </c>
      <c r="J63" s="7"/>
      <c r="K63" s="10"/>
      <c r="L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8" t="str">
        <f aca="false">IF(A64="","",$B$4&amp;"/"&amp;IF(F64="","en",F64)&amp;"/demo?farm="&amp;_xlfn.ENCODEURL(A64)&amp;"&amp;utm_source="&amp;IF(E64="","direct",E64)&amp;"&amp;utm_medium=outreach&amp;utm_campaign="&amp;_xlfn.ENCODEURL($B$5)&amp;"&amp;utm_content=row-55")</f>
        <v/>
      </c>
      <c r="H64" s="9" t="str">
        <f aca="false">IF(A64="","",SUBSTITUTE(SUBSTITUTE(SUBSTITUTE(IF(F64="ar",$B$7,$B$6)," {name}",IF(B64="",""," "&amp;B64)),"{farm}",A64),"{link}",G64))</f>
        <v/>
      </c>
      <c r="I64" s="9" t="str">
        <f aca="false">IF(OR(A64="",D64=""),"",HYPERLINK("https://wa.me/"&amp;SUBSTITUTE(SUBSTITUTE(SUBSTITUTE(SUBSTITUTE(D64,"+","")," ",""),"-",""),"(","")&amp;"?text="&amp;_xlfn.ENCODEURL(H64),"Send on WhatsApp"))</f>
        <v/>
      </c>
      <c r="J64" s="7"/>
      <c r="K64" s="10"/>
      <c r="L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8" t="str">
        <f aca="false">IF(A65="","",$B$4&amp;"/"&amp;IF(F65="","en",F65)&amp;"/demo?farm="&amp;_xlfn.ENCODEURL(A65)&amp;"&amp;utm_source="&amp;IF(E65="","direct",E65)&amp;"&amp;utm_medium=outreach&amp;utm_campaign="&amp;_xlfn.ENCODEURL($B$5)&amp;"&amp;utm_content=row-56")</f>
        <v/>
      </c>
      <c r="H65" s="9" t="str">
        <f aca="false">IF(A65="","",SUBSTITUTE(SUBSTITUTE(SUBSTITUTE(IF(F65="ar",$B$7,$B$6)," {name}",IF(B65="",""," "&amp;B65)),"{farm}",A65),"{link}",G65))</f>
        <v/>
      </c>
      <c r="I65" s="9" t="str">
        <f aca="false">IF(OR(A65="",D65=""),"",HYPERLINK("https://wa.me/"&amp;SUBSTITUTE(SUBSTITUTE(SUBSTITUTE(SUBSTITUTE(D65,"+","")," ",""),"-",""),"(","")&amp;"?text="&amp;_xlfn.ENCODEURL(H65),"Send on WhatsApp"))</f>
        <v/>
      </c>
      <c r="J65" s="7"/>
      <c r="K65" s="10"/>
      <c r="L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8" t="str">
        <f aca="false">IF(A66="","",$B$4&amp;"/"&amp;IF(F66="","en",F66)&amp;"/demo?farm="&amp;_xlfn.ENCODEURL(A66)&amp;"&amp;utm_source="&amp;IF(E66="","direct",E66)&amp;"&amp;utm_medium=outreach&amp;utm_campaign="&amp;_xlfn.ENCODEURL($B$5)&amp;"&amp;utm_content=row-57")</f>
        <v/>
      </c>
      <c r="H66" s="9" t="str">
        <f aca="false">IF(A66="","",SUBSTITUTE(SUBSTITUTE(SUBSTITUTE(IF(F66="ar",$B$7,$B$6)," {name}",IF(B66="",""," "&amp;B66)),"{farm}",A66),"{link}",G66))</f>
        <v/>
      </c>
      <c r="I66" s="9" t="str">
        <f aca="false">IF(OR(A66="",D66=""),"",HYPERLINK("https://wa.me/"&amp;SUBSTITUTE(SUBSTITUTE(SUBSTITUTE(SUBSTITUTE(D66,"+","")," ",""),"-",""),"(","")&amp;"?text="&amp;_xlfn.ENCODEURL(H66),"Send on WhatsApp"))</f>
        <v/>
      </c>
      <c r="J66" s="7"/>
      <c r="K66" s="10"/>
      <c r="L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8" t="str">
        <f aca="false">IF(A67="","",$B$4&amp;"/"&amp;IF(F67="","en",F67)&amp;"/demo?farm="&amp;_xlfn.ENCODEURL(A67)&amp;"&amp;utm_source="&amp;IF(E67="","direct",E67)&amp;"&amp;utm_medium=outreach&amp;utm_campaign="&amp;_xlfn.ENCODEURL($B$5)&amp;"&amp;utm_content=row-58")</f>
        <v/>
      </c>
      <c r="H67" s="9" t="str">
        <f aca="false">IF(A67="","",SUBSTITUTE(SUBSTITUTE(SUBSTITUTE(IF(F67="ar",$B$7,$B$6)," {name}",IF(B67="",""," "&amp;B67)),"{farm}",A67),"{link}",G67))</f>
        <v/>
      </c>
      <c r="I67" s="9" t="str">
        <f aca="false">IF(OR(A67="",D67=""),"",HYPERLINK("https://wa.me/"&amp;SUBSTITUTE(SUBSTITUTE(SUBSTITUTE(SUBSTITUTE(D67,"+","")," ",""),"-",""),"(","")&amp;"?text="&amp;_xlfn.ENCODEURL(H67),"Send on WhatsApp"))</f>
        <v/>
      </c>
      <c r="J67" s="7"/>
      <c r="K67" s="10"/>
      <c r="L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8" t="str">
        <f aca="false">IF(A68="","",$B$4&amp;"/"&amp;IF(F68="","en",F68)&amp;"/demo?farm="&amp;_xlfn.ENCODEURL(A68)&amp;"&amp;utm_source="&amp;IF(E68="","direct",E68)&amp;"&amp;utm_medium=outreach&amp;utm_campaign="&amp;_xlfn.ENCODEURL($B$5)&amp;"&amp;utm_content=row-59")</f>
        <v/>
      </c>
      <c r="H68" s="9" t="str">
        <f aca="false">IF(A68="","",SUBSTITUTE(SUBSTITUTE(SUBSTITUTE(IF(F68="ar",$B$7,$B$6)," {name}",IF(B68="",""," "&amp;B68)),"{farm}",A68),"{link}",G68))</f>
        <v/>
      </c>
      <c r="I68" s="9" t="str">
        <f aca="false">IF(OR(A68="",D68=""),"",HYPERLINK("https://wa.me/"&amp;SUBSTITUTE(SUBSTITUTE(SUBSTITUTE(SUBSTITUTE(D68,"+","")," ",""),"-",""),"(","")&amp;"?text="&amp;_xlfn.ENCODEURL(H68),"Send on WhatsApp"))</f>
        <v/>
      </c>
      <c r="J68" s="7"/>
      <c r="K68" s="10"/>
      <c r="L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8" t="str">
        <f aca="false">IF(A69="","",$B$4&amp;"/"&amp;IF(F69="","en",F69)&amp;"/demo?farm="&amp;_xlfn.ENCODEURL(A69)&amp;"&amp;utm_source="&amp;IF(E69="","direct",E69)&amp;"&amp;utm_medium=outreach&amp;utm_campaign="&amp;_xlfn.ENCODEURL($B$5)&amp;"&amp;utm_content=row-60")</f>
        <v/>
      </c>
      <c r="H69" s="9" t="str">
        <f aca="false">IF(A69="","",SUBSTITUTE(SUBSTITUTE(SUBSTITUTE(IF(F69="ar",$B$7,$B$6)," {name}",IF(B69="",""," "&amp;B69)),"{farm}",A69),"{link}",G69))</f>
        <v/>
      </c>
      <c r="I69" s="9" t="str">
        <f aca="false">IF(OR(A69="",D69=""),"",HYPERLINK("https://wa.me/"&amp;SUBSTITUTE(SUBSTITUTE(SUBSTITUTE(SUBSTITUTE(D69,"+","")," ",""),"-",""),"(","")&amp;"?text="&amp;_xlfn.ENCODEURL(H69),"Send on WhatsApp"))</f>
        <v/>
      </c>
      <c r="J69" s="7"/>
      <c r="K69" s="10"/>
      <c r="L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8" t="str">
        <f aca="false">IF(A70="","",$B$4&amp;"/"&amp;IF(F70="","en",F70)&amp;"/demo?farm="&amp;_xlfn.ENCODEURL(A70)&amp;"&amp;utm_source="&amp;IF(E70="","direct",E70)&amp;"&amp;utm_medium=outreach&amp;utm_campaign="&amp;_xlfn.ENCODEURL($B$5)&amp;"&amp;utm_content=row-61")</f>
        <v/>
      </c>
      <c r="H70" s="9" t="str">
        <f aca="false">IF(A70="","",SUBSTITUTE(SUBSTITUTE(SUBSTITUTE(IF(F70="ar",$B$7,$B$6)," {name}",IF(B70="",""," "&amp;B70)),"{farm}",A70),"{link}",G70))</f>
        <v/>
      </c>
      <c r="I70" s="9" t="str">
        <f aca="false">IF(OR(A70="",D70=""),"",HYPERLINK("https://wa.me/"&amp;SUBSTITUTE(SUBSTITUTE(SUBSTITUTE(SUBSTITUTE(D70,"+","")," ",""),"-",""),"(","")&amp;"?text="&amp;_xlfn.ENCODEURL(H70),"Send on WhatsApp"))</f>
        <v/>
      </c>
      <c r="J70" s="7"/>
      <c r="K70" s="10"/>
      <c r="L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8" t="str">
        <f aca="false">IF(A71="","",$B$4&amp;"/"&amp;IF(F71="","en",F71)&amp;"/demo?farm="&amp;_xlfn.ENCODEURL(A71)&amp;"&amp;utm_source="&amp;IF(E71="","direct",E71)&amp;"&amp;utm_medium=outreach&amp;utm_campaign="&amp;_xlfn.ENCODEURL($B$5)&amp;"&amp;utm_content=row-62")</f>
        <v/>
      </c>
      <c r="H71" s="9" t="str">
        <f aca="false">IF(A71="","",SUBSTITUTE(SUBSTITUTE(SUBSTITUTE(IF(F71="ar",$B$7,$B$6)," {name}",IF(B71="",""," "&amp;B71)),"{farm}",A71),"{link}",G71))</f>
        <v/>
      </c>
      <c r="I71" s="9" t="str">
        <f aca="false">IF(OR(A71="",D71=""),"",HYPERLINK("https://wa.me/"&amp;SUBSTITUTE(SUBSTITUTE(SUBSTITUTE(SUBSTITUTE(D71,"+","")," ",""),"-",""),"(","")&amp;"?text="&amp;_xlfn.ENCODEURL(H71),"Send on WhatsApp"))</f>
        <v/>
      </c>
      <c r="J71" s="7"/>
      <c r="K71" s="10"/>
      <c r="L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8" t="str">
        <f aca="false">IF(A72="","",$B$4&amp;"/"&amp;IF(F72="","en",F72)&amp;"/demo?farm="&amp;_xlfn.ENCODEURL(A72)&amp;"&amp;utm_source="&amp;IF(E72="","direct",E72)&amp;"&amp;utm_medium=outreach&amp;utm_campaign="&amp;_xlfn.ENCODEURL($B$5)&amp;"&amp;utm_content=row-63")</f>
        <v/>
      </c>
      <c r="H72" s="9" t="str">
        <f aca="false">IF(A72="","",SUBSTITUTE(SUBSTITUTE(SUBSTITUTE(IF(F72="ar",$B$7,$B$6)," {name}",IF(B72="",""," "&amp;B72)),"{farm}",A72),"{link}",G72))</f>
        <v/>
      </c>
      <c r="I72" s="9" t="str">
        <f aca="false">IF(OR(A72="",D72=""),"",HYPERLINK("https://wa.me/"&amp;SUBSTITUTE(SUBSTITUTE(SUBSTITUTE(SUBSTITUTE(D72,"+","")," ",""),"-",""),"(","")&amp;"?text="&amp;_xlfn.ENCODEURL(H72),"Send on WhatsApp"))</f>
        <v/>
      </c>
      <c r="J72" s="7"/>
      <c r="K72" s="10"/>
      <c r="L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8" t="str">
        <f aca="false">IF(A73="","",$B$4&amp;"/"&amp;IF(F73="","en",F73)&amp;"/demo?farm="&amp;_xlfn.ENCODEURL(A73)&amp;"&amp;utm_source="&amp;IF(E73="","direct",E73)&amp;"&amp;utm_medium=outreach&amp;utm_campaign="&amp;_xlfn.ENCODEURL($B$5)&amp;"&amp;utm_content=row-64")</f>
        <v/>
      </c>
      <c r="H73" s="9" t="str">
        <f aca="false">IF(A73="","",SUBSTITUTE(SUBSTITUTE(SUBSTITUTE(IF(F73="ar",$B$7,$B$6)," {name}",IF(B73="",""," "&amp;B73)),"{farm}",A73),"{link}",G73))</f>
        <v/>
      </c>
      <c r="I73" s="9" t="str">
        <f aca="false">IF(OR(A73="",D73=""),"",HYPERLINK("https://wa.me/"&amp;SUBSTITUTE(SUBSTITUTE(SUBSTITUTE(SUBSTITUTE(D73,"+","")," ",""),"-",""),"(","")&amp;"?text="&amp;_xlfn.ENCODEURL(H73),"Send on WhatsApp"))</f>
        <v/>
      </c>
      <c r="J73" s="7"/>
      <c r="K73" s="10"/>
      <c r="L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8" t="str">
        <f aca="false">IF(A74="","",$B$4&amp;"/"&amp;IF(F74="","en",F74)&amp;"/demo?farm="&amp;_xlfn.ENCODEURL(A74)&amp;"&amp;utm_source="&amp;IF(E74="","direct",E74)&amp;"&amp;utm_medium=outreach&amp;utm_campaign="&amp;_xlfn.ENCODEURL($B$5)&amp;"&amp;utm_content=row-65")</f>
        <v/>
      </c>
      <c r="H74" s="9" t="str">
        <f aca="false">IF(A74="","",SUBSTITUTE(SUBSTITUTE(SUBSTITUTE(IF(F74="ar",$B$7,$B$6)," {name}",IF(B74="",""," "&amp;B74)),"{farm}",A74),"{link}",G74))</f>
        <v/>
      </c>
      <c r="I74" s="9" t="str">
        <f aca="false">IF(OR(A74="",D74=""),"",HYPERLINK("https://wa.me/"&amp;SUBSTITUTE(SUBSTITUTE(SUBSTITUTE(SUBSTITUTE(D74,"+","")," ",""),"-",""),"(","")&amp;"?text="&amp;_xlfn.ENCODEURL(H74),"Send on WhatsApp"))</f>
        <v/>
      </c>
      <c r="J74" s="7"/>
      <c r="K74" s="10"/>
      <c r="L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8" t="str">
        <f aca="false">IF(A75="","",$B$4&amp;"/"&amp;IF(F75="","en",F75)&amp;"/demo?farm="&amp;_xlfn.ENCODEURL(A75)&amp;"&amp;utm_source="&amp;IF(E75="","direct",E75)&amp;"&amp;utm_medium=outreach&amp;utm_campaign="&amp;_xlfn.ENCODEURL($B$5)&amp;"&amp;utm_content=row-66")</f>
        <v/>
      </c>
      <c r="H75" s="9" t="str">
        <f aca="false">IF(A75="","",SUBSTITUTE(SUBSTITUTE(SUBSTITUTE(IF(F75="ar",$B$7,$B$6)," {name}",IF(B75="",""," "&amp;B75)),"{farm}",A75),"{link}",G75))</f>
        <v/>
      </c>
      <c r="I75" s="9" t="str">
        <f aca="false">IF(OR(A75="",D75=""),"",HYPERLINK("https://wa.me/"&amp;SUBSTITUTE(SUBSTITUTE(SUBSTITUTE(SUBSTITUTE(D75,"+","")," ",""),"-",""),"(","")&amp;"?text="&amp;_xlfn.ENCODEURL(H75),"Send on WhatsApp"))</f>
        <v/>
      </c>
      <c r="J75" s="7"/>
      <c r="K75" s="10"/>
      <c r="L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8" t="str">
        <f aca="false">IF(A76="","",$B$4&amp;"/"&amp;IF(F76="","en",F76)&amp;"/demo?farm="&amp;_xlfn.ENCODEURL(A76)&amp;"&amp;utm_source="&amp;IF(E76="","direct",E76)&amp;"&amp;utm_medium=outreach&amp;utm_campaign="&amp;_xlfn.ENCODEURL($B$5)&amp;"&amp;utm_content=row-67")</f>
        <v/>
      </c>
      <c r="H76" s="9" t="str">
        <f aca="false">IF(A76="","",SUBSTITUTE(SUBSTITUTE(SUBSTITUTE(IF(F76="ar",$B$7,$B$6)," {name}",IF(B76="",""," "&amp;B76)),"{farm}",A76),"{link}",G76))</f>
        <v/>
      </c>
      <c r="I76" s="9" t="str">
        <f aca="false">IF(OR(A76="",D76=""),"",HYPERLINK("https://wa.me/"&amp;SUBSTITUTE(SUBSTITUTE(SUBSTITUTE(SUBSTITUTE(D76,"+","")," ",""),"-",""),"(","")&amp;"?text="&amp;_xlfn.ENCODEURL(H76),"Send on WhatsApp"))</f>
        <v/>
      </c>
      <c r="J76" s="7"/>
      <c r="K76" s="10"/>
      <c r="L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8" t="str">
        <f aca="false">IF(A77="","",$B$4&amp;"/"&amp;IF(F77="","en",F77)&amp;"/demo?farm="&amp;_xlfn.ENCODEURL(A77)&amp;"&amp;utm_source="&amp;IF(E77="","direct",E77)&amp;"&amp;utm_medium=outreach&amp;utm_campaign="&amp;_xlfn.ENCODEURL($B$5)&amp;"&amp;utm_content=row-68")</f>
        <v/>
      </c>
      <c r="H77" s="9" t="str">
        <f aca="false">IF(A77="","",SUBSTITUTE(SUBSTITUTE(SUBSTITUTE(IF(F77="ar",$B$7,$B$6)," {name}",IF(B77="",""," "&amp;B77)),"{farm}",A77),"{link}",G77))</f>
        <v/>
      </c>
      <c r="I77" s="9" t="str">
        <f aca="false">IF(OR(A77="",D77=""),"",HYPERLINK("https://wa.me/"&amp;SUBSTITUTE(SUBSTITUTE(SUBSTITUTE(SUBSTITUTE(D77,"+","")," ",""),"-",""),"(","")&amp;"?text="&amp;_xlfn.ENCODEURL(H77),"Send on WhatsApp"))</f>
        <v/>
      </c>
      <c r="J77" s="7"/>
      <c r="K77" s="10"/>
      <c r="L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8" t="str">
        <f aca="false">IF(A78="","",$B$4&amp;"/"&amp;IF(F78="","en",F78)&amp;"/demo?farm="&amp;_xlfn.ENCODEURL(A78)&amp;"&amp;utm_source="&amp;IF(E78="","direct",E78)&amp;"&amp;utm_medium=outreach&amp;utm_campaign="&amp;_xlfn.ENCODEURL($B$5)&amp;"&amp;utm_content=row-69")</f>
        <v/>
      </c>
      <c r="H78" s="9" t="str">
        <f aca="false">IF(A78="","",SUBSTITUTE(SUBSTITUTE(SUBSTITUTE(IF(F78="ar",$B$7,$B$6)," {name}",IF(B78="",""," "&amp;B78)),"{farm}",A78),"{link}",G78))</f>
        <v/>
      </c>
      <c r="I78" s="9" t="str">
        <f aca="false">IF(OR(A78="",D78=""),"",HYPERLINK("https://wa.me/"&amp;SUBSTITUTE(SUBSTITUTE(SUBSTITUTE(SUBSTITUTE(D78,"+","")," ",""),"-",""),"(","")&amp;"?text="&amp;_xlfn.ENCODEURL(H78),"Send on WhatsApp"))</f>
        <v/>
      </c>
      <c r="J78" s="7"/>
      <c r="K78" s="10"/>
      <c r="L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8" t="str">
        <f aca="false">IF(A79="","",$B$4&amp;"/"&amp;IF(F79="","en",F79)&amp;"/demo?farm="&amp;_xlfn.ENCODEURL(A79)&amp;"&amp;utm_source="&amp;IF(E79="","direct",E79)&amp;"&amp;utm_medium=outreach&amp;utm_campaign="&amp;_xlfn.ENCODEURL($B$5)&amp;"&amp;utm_content=row-70")</f>
        <v/>
      </c>
      <c r="H79" s="9" t="str">
        <f aca="false">IF(A79="","",SUBSTITUTE(SUBSTITUTE(SUBSTITUTE(IF(F79="ar",$B$7,$B$6)," {name}",IF(B79="",""," "&amp;B79)),"{farm}",A79),"{link}",G79))</f>
        <v/>
      </c>
      <c r="I79" s="9" t="str">
        <f aca="false">IF(OR(A79="",D79=""),"",HYPERLINK("https://wa.me/"&amp;SUBSTITUTE(SUBSTITUTE(SUBSTITUTE(SUBSTITUTE(D79,"+","")," ",""),"-",""),"(","")&amp;"?text="&amp;_xlfn.ENCODEURL(H79),"Send on WhatsApp"))</f>
        <v/>
      </c>
      <c r="J79" s="7"/>
      <c r="K79" s="10"/>
      <c r="L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8" t="str">
        <f aca="false">IF(A80="","",$B$4&amp;"/"&amp;IF(F80="","en",F80)&amp;"/demo?farm="&amp;_xlfn.ENCODEURL(A80)&amp;"&amp;utm_source="&amp;IF(E80="","direct",E80)&amp;"&amp;utm_medium=outreach&amp;utm_campaign="&amp;_xlfn.ENCODEURL($B$5)&amp;"&amp;utm_content=row-71")</f>
        <v/>
      </c>
      <c r="H80" s="9" t="str">
        <f aca="false">IF(A80="","",SUBSTITUTE(SUBSTITUTE(SUBSTITUTE(IF(F80="ar",$B$7,$B$6)," {name}",IF(B80="",""," "&amp;B80)),"{farm}",A80),"{link}",G80))</f>
        <v/>
      </c>
      <c r="I80" s="9" t="str">
        <f aca="false">IF(OR(A80="",D80=""),"",HYPERLINK("https://wa.me/"&amp;SUBSTITUTE(SUBSTITUTE(SUBSTITUTE(SUBSTITUTE(D80,"+","")," ",""),"-",""),"(","")&amp;"?text="&amp;_xlfn.ENCODEURL(H80),"Send on WhatsApp"))</f>
        <v/>
      </c>
      <c r="J80" s="7"/>
      <c r="K80" s="10"/>
      <c r="L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8" t="str">
        <f aca="false">IF(A81="","",$B$4&amp;"/"&amp;IF(F81="","en",F81)&amp;"/demo?farm="&amp;_xlfn.ENCODEURL(A81)&amp;"&amp;utm_source="&amp;IF(E81="","direct",E81)&amp;"&amp;utm_medium=outreach&amp;utm_campaign="&amp;_xlfn.ENCODEURL($B$5)&amp;"&amp;utm_content=row-72")</f>
        <v/>
      </c>
      <c r="H81" s="9" t="str">
        <f aca="false">IF(A81="","",SUBSTITUTE(SUBSTITUTE(SUBSTITUTE(IF(F81="ar",$B$7,$B$6)," {name}",IF(B81="",""," "&amp;B81)),"{farm}",A81),"{link}",G81))</f>
        <v/>
      </c>
      <c r="I81" s="9" t="str">
        <f aca="false">IF(OR(A81="",D81=""),"",HYPERLINK("https://wa.me/"&amp;SUBSTITUTE(SUBSTITUTE(SUBSTITUTE(SUBSTITUTE(D81,"+","")," ",""),"-",""),"(","")&amp;"?text="&amp;_xlfn.ENCODEURL(H81),"Send on WhatsApp"))</f>
        <v/>
      </c>
      <c r="J81" s="7"/>
      <c r="K81" s="10"/>
      <c r="L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8" t="str">
        <f aca="false">IF(A82="","",$B$4&amp;"/"&amp;IF(F82="","en",F82)&amp;"/demo?farm="&amp;_xlfn.ENCODEURL(A82)&amp;"&amp;utm_source="&amp;IF(E82="","direct",E82)&amp;"&amp;utm_medium=outreach&amp;utm_campaign="&amp;_xlfn.ENCODEURL($B$5)&amp;"&amp;utm_content=row-73")</f>
        <v/>
      </c>
      <c r="H82" s="9" t="str">
        <f aca="false">IF(A82="","",SUBSTITUTE(SUBSTITUTE(SUBSTITUTE(IF(F82="ar",$B$7,$B$6)," {name}",IF(B82="",""," "&amp;B82)),"{farm}",A82),"{link}",G82))</f>
        <v/>
      </c>
      <c r="I82" s="9" t="str">
        <f aca="false">IF(OR(A82="",D82=""),"",HYPERLINK("https://wa.me/"&amp;SUBSTITUTE(SUBSTITUTE(SUBSTITUTE(SUBSTITUTE(D82,"+","")," ",""),"-",""),"(","")&amp;"?text="&amp;_xlfn.ENCODEURL(H82),"Send on WhatsApp"))</f>
        <v/>
      </c>
      <c r="J82" s="7"/>
      <c r="K82" s="10"/>
      <c r="L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8" t="str">
        <f aca="false">IF(A83="","",$B$4&amp;"/"&amp;IF(F83="","en",F83)&amp;"/demo?farm="&amp;_xlfn.ENCODEURL(A83)&amp;"&amp;utm_source="&amp;IF(E83="","direct",E83)&amp;"&amp;utm_medium=outreach&amp;utm_campaign="&amp;_xlfn.ENCODEURL($B$5)&amp;"&amp;utm_content=row-74")</f>
        <v/>
      </c>
      <c r="H83" s="9" t="str">
        <f aca="false">IF(A83="","",SUBSTITUTE(SUBSTITUTE(SUBSTITUTE(IF(F83="ar",$B$7,$B$6)," {name}",IF(B83="",""," "&amp;B83)),"{farm}",A83),"{link}",G83))</f>
        <v/>
      </c>
      <c r="I83" s="9" t="str">
        <f aca="false">IF(OR(A83="",D83=""),"",HYPERLINK("https://wa.me/"&amp;SUBSTITUTE(SUBSTITUTE(SUBSTITUTE(SUBSTITUTE(D83,"+","")," ",""),"-",""),"(","")&amp;"?text="&amp;_xlfn.ENCODEURL(H83),"Send on WhatsApp"))</f>
        <v/>
      </c>
      <c r="J83" s="7"/>
      <c r="K83" s="10"/>
      <c r="L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8" t="str">
        <f aca="false">IF(A84="","",$B$4&amp;"/"&amp;IF(F84="","en",F84)&amp;"/demo?farm="&amp;_xlfn.ENCODEURL(A84)&amp;"&amp;utm_source="&amp;IF(E84="","direct",E84)&amp;"&amp;utm_medium=outreach&amp;utm_campaign="&amp;_xlfn.ENCODEURL($B$5)&amp;"&amp;utm_content=row-75")</f>
        <v/>
      </c>
      <c r="H84" s="9" t="str">
        <f aca="false">IF(A84="","",SUBSTITUTE(SUBSTITUTE(SUBSTITUTE(IF(F84="ar",$B$7,$B$6)," {name}",IF(B84="",""," "&amp;B84)),"{farm}",A84),"{link}",G84))</f>
        <v/>
      </c>
      <c r="I84" s="9" t="str">
        <f aca="false">IF(OR(A84="",D84=""),"",HYPERLINK("https://wa.me/"&amp;SUBSTITUTE(SUBSTITUTE(SUBSTITUTE(SUBSTITUTE(D84,"+","")," ",""),"-",""),"(","")&amp;"?text="&amp;_xlfn.ENCODEURL(H84),"Send on WhatsApp"))</f>
        <v/>
      </c>
      <c r="J84" s="7"/>
      <c r="K84" s="10"/>
      <c r="L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8" t="str">
        <f aca="false">IF(A85="","",$B$4&amp;"/"&amp;IF(F85="","en",F85)&amp;"/demo?farm="&amp;_xlfn.ENCODEURL(A85)&amp;"&amp;utm_source="&amp;IF(E85="","direct",E85)&amp;"&amp;utm_medium=outreach&amp;utm_campaign="&amp;_xlfn.ENCODEURL($B$5)&amp;"&amp;utm_content=row-76")</f>
        <v/>
      </c>
      <c r="H85" s="9" t="str">
        <f aca="false">IF(A85="","",SUBSTITUTE(SUBSTITUTE(SUBSTITUTE(IF(F85="ar",$B$7,$B$6)," {name}",IF(B85="",""," "&amp;B85)),"{farm}",A85),"{link}",G85))</f>
        <v/>
      </c>
      <c r="I85" s="9" t="str">
        <f aca="false">IF(OR(A85="",D85=""),"",HYPERLINK("https://wa.me/"&amp;SUBSTITUTE(SUBSTITUTE(SUBSTITUTE(SUBSTITUTE(D85,"+","")," ",""),"-",""),"(","")&amp;"?text="&amp;_xlfn.ENCODEURL(H85),"Send on WhatsApp"))</f>
        <v/>
      </c>
      <c r="J85" s="7"/>
      <c r="K85" s="10"/>
      <c r="L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8" t="str">
        <f aca="false">IF(A86="","",$B$4&amp;"/"&amp;IF(F86="","en",F86)&amp;"/demo?farm="&amp;_xlfn.ENCODEURL(A86)&amp;"&amp;utm_source="&amp;IF(E86="","direct",E86)&amp;"&amp;utm_medium=outreach&amp;utm_campaign="&amp;_xlfn.ENCODEURL($B$5)&amp;"&amp;utm_content=row-77")</f>
        <v/>
      </c>
      <c r="H86" s="9" t="str">
        <f aca="false">IF(A86="","",SUBSTITUTE(SUBSTITUTE(SUBSTITUTE(IF(F86="ar",$B$7,$B$6)," {name}",IF(B86="",""," "&amp;B86)),"{farm}",A86),"{link}",G86))</f>
        <v/>
      </c>
      <c r="I86" s="9" t="str">
        <f aca="false">IF(OR(A86="",D86=""),"",HYPERLINK("https://wa.me/"&amp;SUBSTITUTE(SUBSTITUTE(SUBSTITUTE(SUBSTITUTE(D86,"+","")," ",""),"-",""),"(","")&amp;"?text="&amp;_xlfn.ENCODEURL(H86),"Send on WhatsApp"))</f>
        <v/>
      </c>
      <c r="J86" s="7"/>
      <c r="K86" s="10"/>
      <c r="L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8" t="str">
        <f aca="false">IF(A87="","",$B$4&amp;"/"&amp;IF(F87="","en",F87)&amp;"/demo?farm="&amp;_xlfn.ENCODEURL(A87)&amp;"&amp;utm_source="&amp;IF(E87="","direct",E87)&amp;"&amp;utm_medium=outreach&amp;utm_campaign="&amp;_xlfn.ENCODEURL($B$5)&amp;"&amp;utm_content=row-78")</f>
        <v/>
      </c>
      <c r="H87" s="9" t="str">
        <f aca="false">IF(A87="","",SUBSTITUTE(SUBSTITUTE(SUBSTITUTE(IF(F87="ar",$B$7,$B$6)," {name}",IF(B87="",""," "&amp;B87)),"{farm}",A87),"{link}",G87))</f>
        <v/>
      </c>
      <c r="I87" s="9" t="str">
        <f aca="false">IF(OR(A87="",D87=""),"",HYPERLINK("https://wa.me/"&amp;SUBSTITUTE(SUBSTITUTE(SUBSTITUTE(SUBSTITUTE(D87,"+","")," ",""),"-",""),"(","")&amp;"?text="&amp;_xlfn.ENCODEURL(H87),"Send on WhatsApp"))</f>
        <v/>
      </c>
      <c r="J87" s="7"/>
      <c r="K87" s="10"/>
      <c r="L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8" t="str">
        <f aca="false">IF(A88="","",$B$4&amp;"/"&amp;IF(F88="","en",F88)&amp;"/demo?farm="&amp;_xlfn.ENCODEURL(A88)&amp;"&amp;utm_source="&amp;IF(E88="","direct",E88)&amp;"&amp;utm_medium=outreach&amp;utm_campaign="&amp;_xlfn.ENCODEURL($B$5)&amp;"&amp;utm_content=row-79")</f>
        <v/>
      </c>
      <c r="H88" s="9" t="str">
        <f aca="false">IF(A88="","",SUBSTITUTE(SUBSTITUTE(SUBSTITUTE(IF(F88="ar",$B$7,$B$6)," {name}",IF(B88="",""," "&amp;B88)),"{farm}",A88),"{link}",G88))</f>
        <v/>
      </c>
      <c r="I88" s="9" t="str">
        <f aca="false">IF(OR(A88="",D88=""),"",HYPERLINK("https://wa.me/"&amp;SUBSTITUTE(SUBSTITUTE(SUBSTITUTE(SUBSTITUTE(D88,"+","")," ",""),"-",""),"(","")&amp;"?text="&amp;_xlfn.ENCODEURL(H88),"Send on WhatsApp"))</f>
        <v/>
      </c>
      <c r="J88" s="7"/>
      <c r="K88" s="10"/>
      <c r="L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8" t="str">
        <f aca="false">IF(A89="","",$B$4&amp;"/"&amp;IF(F89="","en",F89)&amp;"/demo?farm="&amp;_xlfn.ENCODEURL(A89)&amp;"&amp;utm_source="&amp;IF(E89="","direct",E89)&amp;"&amp;utm_medium=outreach&amp;utm_campaign="&amp;_xlfn.ENCODEURL($B$5)&amp;"&amp;utm_content=row-80")</f>
        <v/>
      </c>
      <c r="H89" s="9" t="str">
        <f aca="false">IF(A89="","",SUBSTITUTE(SUBSTITUTE(SUBSTITUTE(IF(F89="ar",$B$7,$B$6)," {name}",IF(B89="",""," "&amp;B89)),"{farm}",A89),"{link}",G89))</f>
        <v/>
      </c>
      <c r="I89" s="9" t="str">
        <f aca="false">IF(OR(A89="",D89=""),"",HYPERLINK("https://wa.me/"&amp;SUBSTITUTE(SUBSTITUTE(SUBSTITUTE(SUBSTITUTE(D89,"+","")," ",""),"-",""),"(","")&amp;"?text="&amp;_xlfn.ENCODEURL(H89),"Send on WhatsApp"))</f>
        <v/>
      </c>
      <c r="J89" s="7"/>
      <c r="K89" s="10"/>
      <c r="L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8" t="str">
        <f aca="false">IF(A90="","",$B$4&amp;"/"&amp;IF(F90="","en",F90)&amp;"/demo?farm="&amp;_xlfn.ENCODEURL(A90)&amp;"&amp;utm_source="&amp;IF(E90="","direct",E90)&amp;"&amp;utm_medium=outreach&amp;utm_campaign="&amp;_xlfn.ENCODEURL($B$5)&amp;"&amp;utm_content=row-81")</f>
        <v/>
      </c>
      <c r="H90" s="9" t="str">
        <f aca="false">IF(A90="","",SUBSTITUTE(SUBSTITUTE(SUBSTITUTE(IF(F90="ar",$B$7,$B$6)," {name}",IF(B90="",""," "&amp;B90)),"{farm}",A90),"{link}",G90))</f>
        <v/>
      </c>
      <c r="I90" s="9" t="str">
        <f aca="false">IF(OR(A90="",D90=""),"",HYPERLINK("https://wa.me/"&amp;SUBSTITUTE(SUBSTITUTE(SUBSTITUTE(SUBSTITUTE(D90,"+","")," ",""),"-",""),"(","")&amp;"?text="&amp;_xlfn.ENCODEURL(H90),"Send on WhatsApp"))</f>
        <v/>
      </c>
      <c r="J90" s="7"/>
      <c r="K90" s="10"/>
      <c r="L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8" t="str">
        <f aca="false">IF(A91="","",$B$4&amp;"/"&amp;IF(F91="","en",F91)&amp;"/demo?farm="&amp;_xlfn.ENCODEURL(A91)&amp;"&amp;utm_source="&amp;IF(E91="","direct",E91)&amp;"&amp;utm_medium=outreach&amp;utm_campaign="&amp;_xlfn.ENCODEURL($B$5)&amp;"&amp;utm_content=row-82")</f>
        <v/>
      </c>
      <c r="H91" s="9" t="str">
        <f aca="false">IF(A91="","",SUBSTITUTE(SUBSTITUTE(SUBSTITUTE(IF(F91="ar",$B$7,$B$6)," {name}",IF(B91="",""," "&amp;B91)),"{farm}",A91),"{link}",G91))</f>
        <v/>
      </c>
      <c r="I91" s="9" t="str">
        <f aca="false">IF(OR(A91="",D91=""),"",HYPERLINK("https://wa.me/"&amp;SUBSTITUTE(SUBSTITUTE(SUBSTITUTE(SUBSTITUTE(D91,"+","")," ",""),"-",""),"(","")&amp;"?text="&amp;_xlfn.ENCODEURL(H91),"Send on WhatsApp"))</f>
        <v/>
      </c>
      <c r="J91" s="7"/>
      <c r="K91" s="10"/>
      <c r="L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8" t="str">
        <f aca="false">IF(A92="","",$B$4&amp;"/"&amp;IF(F92="","en",F92)&amp;"/demo?farm="&amp;_xlfn.ENCODEURL(A92)&amp;"&amp;utm_source="&amp;IF(E92="","direct",E92)&amp;"&amp;utm_medium=outreach&amp;utm_campaign="&amp;_xlfn.ENCODEURL($B$5)&amp;"&amp;utm_content=row-83")</f>
        <v/>
      </c>
      <c r="H92" s="9" t="str">
        <f aca="false">IF(A92="","",SUBSTITUTE(SUBSTITUTE(SUBSTITUTE(IF(F92="ar",$B$7,$B$6)," {name}",IF(B92="",""," "&amp;B92)),"{farm}",A92),"{link}",G92))</f>
        <v/>
      </c>
      <c r="I92" s="9" t="str">
        <f aca="false">IF(OR(A92="",D92=""),"",HYPERLINK("https://wa.me/"&amp;SUBSTITUTE(SUBSTITUTE(SUBSTITUTE(SUBSTITUTE(D92,"+","")," ",""),"-",""),"(","")&amp;"?text="&amp;_xlfn.ENCODEURL(H92),"Send on WhatsApp"))</f>
        <v/>
      </c>
      <c r="J92" s="7"/>
      <c r="K92" s="10"/>
      <c r="L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8" t="str">
        <f aca="false">IF(A93="","",$B$4&amp;"/"&amp;IF(F93="","en",F93)&amp;"/demo?farm="&amp;_xlfn.ENCODEURL(A93)&amp;"&amp;utm_source="&amp;IF(E93="","direct",E93)&amp;"&amp;utm_medium=outreach&amp;utm_campaign="&amp;_xlfn.ENCODEURL($B$5)&amp;"&amp;utm_content=row-84")</f>
        <v/>
      </c>
      <c r="H93" s="9" t="str">
        <f aca="false">IF(A93="","",SUBSTITUTE(SUBSTITUTE(SUBSTITUTE(IF(F93="ar",$B$7,$B$6)," {name}",IF(B93="",""," "&amp;B93)),"{farm}",A93),"{link}",G93))</f>
        <v/>
      </c>
      <c r="I93" s="9" t="str">
        <f aca="false">IF(OR(A93="",D93=""),"",HYPERLINK("https://wa.me/"&amp;SUBSTITUTE(SUBSTITUTE(SUBSTITUTE(SUBSTITUTE(D93,"+","")," ",""),"-",""),"(","")&amp;"?text="&amp;_xlfn.ENCODEURL(H93),"Send on WhatsApp"))</f>
        <v/>
      </c>
      <c r="J93" s="7"/>
      <c r="K93" s="10"/>
      <c r="L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8" t="str">
        <f aca="false">IF(A94="","",$B$4&amp;"/"&amp;IF(F94="","en",F94)&amp;"/demo?farm="&amp;_xlfn.ENCODEURL(A94)&amp;"&amp;utm_source="&amp;IF(E94="","direct",E94)&amp;"&amp;utm_medium=outreach&amp;utm_campaign="&amp;_xlfn.ENCODEURL($B$5)&amp;"&amp;utm_content=row-85")</f>
        <v/>
      </c>
      <c r="H94" s="9" t="str">
        <f aca="false">IF(A94="","",SUBSTITUTE(SUBSTITUTE(SUBSTITUTE(IF(F94="ar",$B$7,$B$6)," {name}",IF(B94="",""," "&amp;B94)),"{farm}",A94),"{link}",G94))</f>
        <v/>
      </c>
      <c r="I94" s="9" t="str">
        <f aca="false">IF(OR(A94="",D94=""),"",HYPERLINK("https://wa.me/"&amp;SUBSTITUTE(SUBSTITUTE(SUBSTITUTE(SUBSTITUTE(D94,"+","")," ",""),"-",""),"(","")&amp;"?text="&amp;_xlfn.ENCODEURL(H94),"Send on WhatsApp"))</f>
        <v/>
      </c>
      <c r="J94" s="7"/>
      <c r="K94" s="10"/>
      <c r="L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8" t="str">
        <f aca="false">IF(A95="","",$B$4&amp;"/"&amp;IF(F95="","en",F95)&amp;"/demo?farm="&amp;_xlfn.ENCODEURL(A95)&amp;"&amp;utm_source="&amp;IF(E95="","direct",E95)&amp;"&amp;utm_medium=outreach&amp;utm_campaign="&amp;_xlfn.ENCODEURL($B$5)&amp;"&amp;utm_content=row-86")</f>
        <v/>
      </c>
      <c r="H95" s="9" t="str">
        <f aca="false">IF(A95="","",SUBSTITUTE(SUBSTITUTE(SUBSTITUTE(IF(F95="ar",$B$7,$B$6)," {name}",IF(B95="",""," "&amp;B95)),"{farm}",A95),"{link}",G95))</f>
        <v/>
      </c>
      <c r="I95" s="9" t="str">
        <f aca="false">IF(OR(A95="",D95=""),"",HYPERLINK("https://wa.me/"&amp;SUBSTITUTE(SUBSTITUTE(SUBSTITUTE(SUBSTITUTE(D95,"+","")," ",""),"-",""),"(","")&amp;"?text="&amp;_xlfn.ENCODEURL(H95),"Send on WhatsApp"))</f>
        <v/>
      </c>
      <c r="J95" s="7"/>
      <c r="K95" s="10"/>
      <c r="L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8" t="str">
        <f aca="false">IF(A96="","",$B$4&amp;"/"&amp;IF(F96="","en",F96)&amp;"/demo?farm="&amp;_xlfn.ENCODEURL(A96)&amp;"&amp;utm_source="&amp;IF(E96="","direct",E96)&amp;"&amp;utm_medium=outreach&amp;utm_campaign="&amp;_xlfn.ENCODEURL($B$5)&amp;"&amp;utm_content=row-87")</f>
        <v/>
      </c>
      <c r="H96" s="9" t="str">
        <f aca="false">IF(A96="","",SUBSTITUTE(SUBSTITUTE(SUBSTITUTE(IF(F96="ar",$B$7,$B$6)," {name}",IF(B96="",""," "&amp;B96)),"{farm}",A96),"{link}",G96))</f>
        <v/>
      </c>
      <c r="I96" s="9" t="str">
        <f aca="false">IF(OR(A96="",D96=""),"",HYPERLINK("https://wa.me/"&amp;SUBSTITUTE(SUBSTITUTE(SUBSTITUTE(SUBSTITUTE(D96,"+","")," ",""),"-",""),"(","")&amp;"?text="&amp;_xlfn.ENCODEURL(H96),"Send on WhatsApp"))</f>
        <v/>
      </c>
      <c r="J96" s="7"/>
      <c r="K96" s="10"/>
      <c r="L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8" t="str">
        <f aca="false">IF(A97="","",$B$4&amp;"/"&amp;IF(F97="","en",F97)&amp;"/demo?farm="&amp;_xlfn.ENCODEURL(A97)&amp;"&amp;utm_source="&amp;IF(E97="","direct",E97)&amp;"&amp;utm_medium=outreach&amp;utm_campaign="&amp;_xlfn.ENCODEURL($B$5)&amp;"&amp;utm_content=row-88")</f>
        <v/>
      </c>
      <c r="H97" s="9" t="str">
        <f aca="false">IF(A97="","",SUBSTITUTE(SUBSTITUTE(SUBSTITUTE(IF(F97="ar",$B$7,$B$6)," {name}",IF(B97="",""," "&amp;B97)),"{farm}",A97),"{link}",G97))</f>
        <v/>
      </c>
      <c r="I97" s="9" t="str">
        <f aca="false">IF(OR(A97="",D97=""),"",HYPERLINK("https://wa.me/"&amp;SUBSTITUTE(SUBSTITUTE(SUBSTITUTE(SUBSTITUTE(D97,"+","")," ",""),"-",""),"(","")&amp;"?text="&amp;_xlfn.ENCODEURL(H97),"Send on WhatsApp"))</f>
        <v/>
      </c>
      <c r="J97" s="7"/>
      <c r="K97" s="10"/>
      <c r="L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8" t="str">
        <f aca="false">IF(A98="","",$B$4&amp;"/"&amp;IF(F98="","en",F98)&amp;"/demo?farm="&amp;_xlfn.ENCODEURL(A98)&amp;"&amp;utm_source="&amp;IF(E98="","direct",E98)&amp;"&amp;utm_medium=outreach&amp;utm_campaign="&amp;_xlfn.ENCODEURL($B$5)&amp;"&amp;utm_content=row-89")</f>
        <v/>
      </c>
      <c r="H98" s="9" t="str">
        <f aca="false">IF(A98="","",SUBSTITUTE(SUBSTITUTE(SUBSTITUTE(IF(F98="ar",$B$7,$B$6)," {name}",IF(B98="",""," "&amp;B98)),"{farm}",A98),"{link}",G98))</f>
        <v/>
      </c>
      <c r="I98" s="9" t="str">
        <f aca="false">IF(OR(A98="",D98=""),"",HYPERLINK("https://wa.me/"&amp;SUBSTITUTE(SUBSTITUTE(SUBSTITUTE(SUBSTITUTE(D98,"+","")," ",""),"-",""),"(","")&amp;"?text="&amp;_xlfn.ENCODEURL(H98),"Send on WhatsApp"))</f>
        <v/>
      </c>
      <c r="J98" s="7"/>
      <c r="K98" s="10"/>
      <c r="L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8" t="str">
        <f aca="false">IF(A99="","",$B$4&amp;"/"&amp;IF(F99="","en",F99)&amp;"/demo?farm="&amp;_xlfn.ENCODEURL(A99)&amp;"&amp;utm_source="&amp;IF(E99="","direct",E99)&amp;"&amp;utm_medium=outreach&amp;utm_campaign="&amp;_xlfn.ENCODEURL($B$5)&amp;"&amp;utm_content=row-90")</f>
        <v/>
      </c>
      <c r="H99" s="9" t="str">
        <f aca="false">IF(A99="","",SUBSTITUTE(SUBSTITUTE(SUBSTITUTE(IF(F99="ar",$B$7,$B$6)," {name}",IF(B99="",""," "&amp;B99)),"{farm}",A99),"{link}",G99))</f>
        <v/>
      </c>
      <c r="I99" s="9" t="str">
        <f aca="false">IF(OR(A99="",D99=""),"",HYPERLINK("https://wa.me/"&amp;SUBSTITUTE(SUBSTITUTE(SUBSTITUTE(SUBSTITUTE(D99,"+","")," ",""),"-",""),"(","")&amp;"?text="&amp;_xlfn.ENCODEURL(H99),"Send on WhatsApp"))</f>
        <v/>
      </c>
      <c r="J99" s="7"/>
      <c r="K99" s="10"/>
      <c r="L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8" t="str">
        <f aca="false">IF(A100="","",$B$4&amp;"/"&amp;IF(F100="","en",F100)&amp;"/demo?farm="&amp;_xlfn.ENCODEURL(A100)&amp;"&amp;utm_source="&amp;IF(E100="","direct",E100)&amp;"&amp;utm_medium=outreach&amp;utm_campaign="&amp;_xlfn.ENCODEURL($B$5)&amp;"&amp;utm_content=row-91")</f>
        <v/>
      </c>
      <c r="H100" s="9" t="str">
        <f aca="false">IF(A100="","",SUBSTITUTE(SUBSTITUTE(SUBSTITUTE(IF(F100="ar",$B$7,$B$6)," {name}",IF(B100="",""," "&amp;B100)),"{farm}",A100),"{link}",G100))</f>
        <v/>
      </c>
      <c r="I100" s="9" t="str">
        <f aca="false">IF(OR(A100="",D100=""),"",HYPERLINK("https://wa.me/"&amp;SUBSTITUTE(SUBSTITUTE(SUBSTITUTE(SUBSTITUTE(D100,"+","")," ",""),"-",""),"(","")&amp;"?text="&amp;_xlfn.ENCODEURL(H100),"Send on WhatsApp"))</f>
        <v/>
      </c>
      <c r="J100" s="7"/>
      <c r="K100" s="10"/>
      <c r="L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8" t="str">
        <f aca="false">IF(A101="","",$B$4&amp;"/"&amp;IF(F101="","en",F101)&amp;"/demo?farm="&amp;_xlfn.ENCODEURL(A101)&amp;"&amp;utm_source="&amp;IF(E101="","direct",E101)&amp;"&amp;utm_medium=outreach&amp;utm_campaign="&amp;_xlfn.ENCODEURL($B$5)&amp;"&amp;utm_content=row-92")</f>
        <v/>
      </c>
      <c r="H101" s="9" t="str">
        <f aca="false">IF(A101="","",SUBSTITUTE(SUBSTITUTE(SUBSTITUTE(IF(F101="ar",$B$7,$B$6)," {name}",IF(B101="",""," "&amp;B101)),"{farm}",A101),"{link}",G101))</f>
        <v/>
      </c>
      <c r="I101" s="9" t="str">
        <f aca="false">IF(OR(A101="",D101=""),"",HYPERLINK("https://wa.me/"&amp;SUBSTITUTE(SUBSTITUTE(SUBSTITUTE(SUBSTITUTE(D101,"+","")," ",""),"-",""),"(","")&amp;"?text="&amp;_xlfn.ENCODEURL(H101),"Send on WhatsApp"))</f>
        <v/>
      </c>
      <c r="J101" s="7"/>
      <c r="K101" s="10"/>
      <c r="L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8" t="str">
        <f aca="false">IF(A102="","",$B$4&amp;"/"&amp;IF(F102="","en",F102)&amp;"/demo?farm="&amp;_xlfn.ENCODEURL(A102)&amp;"&amp;utm_source="&amp;IF(E102="","direct",E102)&amp;"&amp;utm_medium=outreach&amp;utm_campaign="&amp;_xlfn.ENCODEURL($B$5)&amp;"&amp;utm_content=row-93")</f>
        <v/>
      </c>
      <c r="H102" s="9" t="str">
        <f aca="false">IF(A102="","",SUBSTITUTE(SUBSTITUTE(SUBSTITUTE(IF(F102="ar",$B$7,$B$6)," {name}",IF(B102="",""," "&amp;B102)),"{farm}",A102),"{link}",G102))</f>
        <v/>
      </c>
      <c r="I102" s="9" t="str">
        <f aca="false">IF(OR(A102="",D102=""),"",HYPERLINK("https://wa.me/"&amp;SUBSTITUTE(SUBSTITUTE(SUBSTITUTE(SUBSTITUTE(D102,"+","")," ",""),"-",""),"(","")&amp;"?text="&amp;_xlfn.ENCODEURL(H102),"Send on WhatsApp"))</f>
        <v/>
      </c>
      <c r="J102" s="7"/>
      <c r="K102" s="10"/>
      <c r="L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8" t="str">
        <f aca="false">IF(A103="","",$B$4&amp;"/"&amp;IF(F103="","en",F103)&amp;"/demo?farm="&amp;_xlfn.ENCODEURL(A103)&amp;"&amp;utm_source="&amp;IF(E103="","direct",E103)&amp;"&amp;utm_medium=outreach&amp;utm_campaign="&amp;_xlfn.ENCODEURL($B$5)&amp;"&amp;utm_content=row-94")</f>
        <v/>
      </c>
      <c r="H103" s="9" t="str">
        <f aca="false">IF(A103="","",SUBSTITUTE(SUBSTITUTE(SUBSTITUTE(IF(F103="ar",$B$7,$B$6)," {name}",IF(B103="",""," "&amp;B103)),"{farm}",A103),"{link}",G103))</f>
        <v/>
      </c>
      <c r="I103" s="9" t="str">
        <f aca="false">IF(OR(A103="",D103=""),"",HYPERLINK("https://wa.me/"&amp;SUBSTITUTE(SUBSTITUTE(SUBSTITUTE(SUBSTITUTE(D103,"+","")," ",""),"-",""),"(","")&amp;"?text="&amp;_xlfn.ENCODEURL(H103),"Send on WhatsApp"))</f>
        <v/>
      </c>
      <c r="J103" s="7"/>
      <c r="K103" s="10"/>
      <c r="L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8" t="str">
        <f aca="false">IF(A104="","",$B$4&amp;"/"&amp;IF(F104="","en",F104)&amp;"/demo?farm="&amp;_xlfn.ENCODEURL(A104)&amp;"&amp;utm_source="&amp;IF(E104="","direct",E104)&amp;"&amp;utm_medium=outreach&amp;utm_campaign="&amp;_xlfn.ENCODEURL($B$5)&amp;"&amp;utm_content=row-95")</f>
        <v/>
      </c>
      <c r="H104" s="9" t="str">
        <f aca="false">IF(A104="","",SUBSTITUTE(SUBSTITUTE(SUBSTITUTE(IF(F104="ar",$B$7,$B$6)," {name}",IF(B104="",""," "&amp;B104)),"{farm}",A104),"{link}",G104))</f>
        <v/>
      </c>
      <c r="I104" s="9" t="str">
        <f aca="false">IF(OR(A104="",D104=""),"",HYPERLINK("https://wa.me/"&amp;SUBSTITUTE(SUBSTITUTE(SUBSTITUTE(SUBSTITUTE(D104,"+","")," ",""),"-",""),"(","")&amp;"?text="&amp;_xlfn.ENCODEURL(H104),"Send on WhatsApp"))</f>
        <v/>
      </c>
      <c r="J104" s="7"/>
      <c r="K104" s="10"/>
      <c r="L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8" t="str">
        <f aca="false">IF(A105="","",$B$4&amp;"/"&amp;IF(F105="","en",F105)&amp;"/demo?farm="&amp;_xlfn.ENCODEURL(A105)&amp;"&amp;utm_source="&amp;IF(E105="","direct",E105)&amp;"&amp;utm_medium=outreach&amp;utm_campaign="&amp;_xlfn.ENCODEURL($B$5)&amp;"&amp;utm_content=row-96")</f>
        <v/>
      </c>
      <c r="H105" s="9" t="str">
        <f aca="false">IF(A105="","",SUBSTITUTE(SUBSTITUTE(SUBSTITUTE(IF(F105="ar",$B$7,$B$6)," {name}",IF(B105="",""," "&amp;B105)),"{farm}",A105),"{link}",G105))</f>
        <v/>
      </c>
      <c r="I105" s="9" t="str">
        <f aca="false">IF(OR(A105="",D105=""),"",HYPERLINK("https://wa.me/"&amp;SUBSTITUTE(SUBSTITUTE(SUBSTITUTE(SUBSTITUTE(D105,"+","")," ",""),"-",""),"(","")&amp;"?text="&amp;_xlfn.ENCODEURL(H105),"Send on WhatsApp"))</f>
        <v/>
      </c>
      <c r="J105" s="7"/>
      <c r="K105" s="10"/>
      <c r="L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8" t="str">
        <f aca="false">IF(A106="","",$B$4&amp;"/"&amp;IF(F106="","en",F106)&amp;"/demo?farm="&amp;_xlfn.ENCODEURL(A106)&amp;"&amp;utm_source="&amp;IF(E106="","direct",E106)&amp;"&amp;utm_medium=outreach&amp;utm_campaign="&amp;_xlfn.ENCODEURL($B$5)&amp;"&amp;utm_content=row-97")</f>
        <v/>
      </c>
      <c r="H106" s="9" t="str">
        <f aca="false">IF(A106="","",SUBSTITUTE(SUBSTITUTE(SUBSTITUTE(IF(F106="ar",$B$7,$B$6)," {name}",IF(B106="",""," "&amp;B106)),"{farm}",A106),"{link}",G106))</f>
        <v/>
      </c>
      <c r="I106" s="9" t="str">
        <f aca="false">IF(OR(A106="",D106=""),"",HYPERLINK("https://wa.me/"&amp;SUBSTITUTE(SUBSTITUTE(SUBSTITUTE(SUBSTITUTE(D106,"+","")," ",""),"-",""),"(","")&amp;"?text="&amp;_xlfn.ENCODEURL(H106),"Send on WhatsApp"))</f>
        <v/>
      </c>
      <c r="J106" s="7"/>
      <c r="K106" s="10"/>
      <c r="L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8" t="str">
        <f aca="false">IF(A107="","",$B$4&amp;"/"&amp;IF(F107="","en",F107)&amp;"/demo?farm="&amp;_xlfn.ENCODEURL(A107)&amp;"&amp;utm_source="&amp;IF(E107="","direct",E107)&amp;"&amp;utm_medium=outreach&amp;utm_campaign="&amp;_xlfn.ENCODEURL($B$5)&amp;"&amp;utm_content=row-98")</f>
        <v/>
      </c>
      <c r="H107" s="9" t="str">
        <f aca="false">IF(A107="","",SUBSTITUTE(SUBSTITUTE(SUBSTITUTE(IF(F107="ar",$B$7,$B$6)," {name}",IF(B107="",""," "&amp;B107)),"{farm}",A107),"{link}",G107))</f>
        <v/>
      </c>
      <c r="I107" s="9" t="str">
        <f aca="false">IF(OR(A107="",D107=""),"",HYPERLINK("https://wa.me/"&amp;SUBSTITUTE(SUBSTITUTE(SUBSTITUTE(SUBSTITUTE(D107,"+","")," ",""),"-",""),"(","")&amp;"?text="&amp;_xlfn.ENCODEURL(H107),"Send on WhatsApp"))</f>
        <v/>
      </c>
      <c r="J107" s="7"/>
      <c r="K107" s="10"/>
      <c r="L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8" t="str">
        <f aca="false">IF(A108="","",$B$4&amp;"/"&amp;IF(F108="","en",F108)&amp;"/demo?farm="&amp;_xlfn.ENCODEURL(A108)&amp;"&amp;utm_source="&amp;IF(E108="","direct",E108)&amp;"&amp;utm_medium=outreach&amp;utm_campaign="&amp;_xlfn.ENCODEURL($B$5)&amp;"&amp;utm_content=row-99")</f>
        <v/>
      </c>
      <c r="H108" s="9" t="str">
        <f aca="false">IF(A108="","",SUBSTITUTE(SUBSTITUTE(SUBSTITUTE(IF(F108="ar",$B$7,$B$6)," {name}",IF(B108="",""," "&amp;B108)),"{farm}",A108),"{link}",G108))</f>
        <v/>
      </c>
      <c r="I108" s="9" t="str">
        <f aca="false">IF(OR(A108="",D108=""),"",HYPERLINK("https://wa.me/"&amp;SUBSTITUTE(SUBSTITUTE(SUBSTITUTE(SUBSTITUTE(D108,"+","")," ",""),"-",""),"(","")&amp;"?text="&amp;_xlfn.ENCODEURL(H108),"Send on WhatsApp"))</f>
        <v/>
      </c>
      <c r="J108" s="7"/>
      <c r="K108" s="10"/>
      <c r="L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8" t="str">
        <f aca="false">IF(A109="","",$B$4&amp;"/"&amp;IF(F109="","en",F109)&amp;"/demo?farm="&amp;_xlfn.ENCODEURL(A109)&amp;"&amp;utm_source="&amp;IF(E109="","direct",E109)&amp;"&amp;utm_medium=outreach&amp;utm_campaign="&amp;_xlfn.ENCODEURL($B$5)&amp;"&amp;utm_content=row-100")</f>
        <v/>
      </c>
      <c r="H109" s="9" t="str">
        <f aca="false">IF(A109="","",SUBSTITUTE(SUBSTITUTE(SUBSTITUTE(IF(F109="ar",$B$7,$B$6)," {name}",IF(B109="",""," "&amp;B109)),"{farm}",A109),"{link}",G109))</f>
        <v/>
      </c>
      <c r="I109" s="9" t="str">
        <f aca="false">IF(OR(A109="",D109=""),"",HYPERLINK("https://wa.me/"&amp;SUBSTITUTE(SUBSTITUTE(SUBSTITUTE(SUBSTITUTE(D109,"+","")," ",""),"-",""),"(","")&amp;"?text="&amp;_xlfn.ENCODEURL(H109),"Send on WhatsApp"))</f>
        <v/>
      </c>
      <c r="J109" s="7"/>
      <c r="K109" s="10"/>
      <c r="L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8" t="str">
        <f aca="false">IF(A110="","",$B$4&amp;"/"&amp;IF(F110="","en",F110)&amp;"/demo?farm="&amp;_xlfn.ENCODEURL(A110)&amp;"&amp;utm_source="&amp;IF(E110="","direct",E110)&amp;"&amp;utm_medium=outreach&amp;utm_campaign="&amp;_xlfn.ENCODEURL($B$5)&amp;"&amp;utm_content=row-101")</f>
        <v/>
      </c>
      <c r="H110" s="9" t="str">
        <f aca="false">IF(A110="","",SUBSTITUTE(SUBSTITUTE(SUBSTITUTE(IF(F110="ar",$B$7,$B$6)," {name}",IF(B110="",""," "&amp;B110)),"{farm}",A110),"{link}",G110))</f>
        <v/>
      </c>
      <c r="I110" s="9" t="str">
        <f aca="false">IF(OR(A110="",D110=""),"",HYPERLINK("https://wa.me/"&amp;SUBSTITUTE(SUBSTITUTE(SUBSTITUTE(SUBSTITUTE(D110,"+","")," ",""),"-",""),"(","")&amp;"?text="&amp;_xlfn.ENCODEURL(H110),"Send on WhatsApp"))</f>
        <v/>
      </c>
      <c r="J110" s="7"/>
      <c r="K110" s="10"/>
      <c r="L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8" t="str">
        <f aca="false">IF(A111="","",$B$4&amp;"/"&amp;IF(F111="","en",F111)&amp;"/demo?farm="&amp;_xlfn.ENCODEURL(A111)&amp;"&amp;utm_source="&amp;IF(E111="","direct",E111)&amp;"&amp;utm_medium=outreach&amp;utm_campaign="&amp;_xlfn.ENCODEURL($B$5)&amp;"&amp;utm_content=row-102")</f>
        <v/>
      </c>
      <c r="H111" s="9" t="str">
        <f aca="false">IF(A111="","",SUBSTITUTE(SUBSTITUTE(SUBSTITUTE(IF(F111="ar",$B$7,$B$6)," {name}",IF(B111="",""," "&amp;B111)),"{farm}",A111),"{link}",G111))</f>
        <v/>
      </c>
      <c r="I111" s="9" t="str">
        <f aca="false">IF(OR(A111="",D111=""),"",HYPERLINK("https://wa.me/"&amp;SUBSTITUTE(SUBSTITUTE(SUBSTITUTE(SUBSTITUTE(D111,"+","")," ",""),"-",""),"(","")&amp;"?text="&amp;_xlfn.ENCODEURL(H111),"Send on WhatsApp"))</f>
        <v/>
      </c>
      <c r="J111" s="7"/>
      <c r="K111" s="10"/>
      <c r="L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8" t="str">
        <f aca="false">IF(A112="","",$B$4&amp;"/"&amp;IF(F112="","en",F112)&amp;"/demo?farm="&amp;_xlfn.ENCODEURL(A112)&amp;"&amp;utm_source="&amp;IF(E112="","direct",E112)&amp;"&amp;utm_medium=outreach&amp;utm_campaign="&amp;_xlfn.ENCODEURL($B$5)&amp;"&amp;utm_content=row-103")</f>
        <v/>
      </c>
      <c r="H112" s="9" t="str">
        <f aca="false">IF(A112="","",SUBSTITUTE(SUBSTITUTE(SUBSTITUTE(IF(F112="ar",$B$7,$B$6)," {name}",IF(B112="",""," "&amp;B112)),"{farm}",A112),"{link}",G112))</f>
        <v/>
      </c>
      <c r="I112" s="9" t="str">
        <f aca="false">IF(OR(A112="",D112=""),"",HYPERLINK("https://wa.me/"&amp;SUBSTITUTE(SUBSTITUTE(SUBSTITUTE(SUBSTITUTE(D112,"+","")," ",""),"-",""),"(","")&amp;"?text="&amp;_xlfn.ENCODEURL(H112),"Send on WhatsApp"))</f>
        <v/>
      </c>
      <c r="J112" s="7"/>
      <c r="K112" s="10"/>
      <c r="L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8" t="str">
        <f aca="false">IF(A113="","",$B$4&amp;"/"&amp;IF(F113="","en",F113)&amp;"/demo?farm="&amp;_xlfn.ENCODEURL(A113)&amp;"&amp;utm_source="&amp;IF(E113="","direct",E113)&amp;"&amp;utm_medium=outreach&amp;utm_campaign="&amp;_xlfn.ENCODEURL($B$5)&amp;"&amp;utm_content=row-104")</f>
        <v/>
      </c>
      <c r="H113" s="9" t="str">
        <f aca="false">IF(A113="","",SUBSTITUTE(SUBSTITUTE(SUBSTITUTE(IF(F113="ar",$B$7,$B$6)," {name}",IF(B113="",""," "&amp;B113)),"{farm}",A113),"{link}",G113))</f>
        <v/>
      </c>
      <c r="I113" s="9" t="str">
        <f aca="false">IF(OR(A113="",D113=""),"",HYPERLINK("https://wa.me/"&amp;SUBSTITUTE(SUBSTITUTE(SUBSTITUTE(SUBSTITUTE(D113,"+","")," ",""),"-",""),"(","")&amp;"?text="&amp;_xlfn.ENCODEURL(H113),"Send on WhatsApp"))</f>
        <v/>
      </c>
      <c r="J113" s="7"/>
      <c r="K113" s="10"/>
      <c r="L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8" t="str">
        <f aca="false">IF(A114="","",$B$4&amp;"/"&amp;IF(F114="","en",F114)&amp;"/demo?farm="&amp;_xlfn.ENCODEURL(A114)&amp;"&amp;utm_source="&amp;IF(E114="","direct",E114)&amp;"&amp;utm_medium=outreach&amp;utm_campaign="&amp;_xlfn.ENCODEURL($B$5)&amp;"&amp;utm_content=row-105")</f>
        <v/>
      </c>
      <c r="H114" s="9" t="str">
        <f aca="false">IF(A114="","",SUBSTITUTE(SUBSTITUTE(SUBSTITUTE(IF(F114="ar",$B$7,$B$6)," {name}",IF(B114="",""," "&amp;B114)),"{farm}",A114),"{link}",G114))</f>
        <v/>
      </c>
      <c r="I114" s="9" t="str">
        <f aca="false">IF(OR(A114="",D114=""),"",HYPERLINK("https://wa.me/"&amp;SUBSTITUTE(SUBSTITUTE(SUBSTITUTE(SUBSTITUTE(D114,"+","")," ",""),"-",""),"(","")&amp;"?text="&amp;_xlfn.ENCODEURL(H114),"Send on WhatsApp"))</f>
        <v/>
      </c>
      <c r="J114" s="7"/>
      <c r="K114" s="10"/>
      <c r="L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8" t="str">
        <f aca="false">IF(A115="","",$B$4&amp;"/"&amp;IF(F115="","en",F115)&amp;"/demo?farm="&amp;_xlfn.ENCODEURL(A115)&amp;"&amp;utm_source="&amp;IF(E115="","direct",E115)&amp;"&amp;utm_medium=outreach&amp;utm_campaign="&amp;_xlfn.ENCODEURL($B$5)&amp;"&amp;utm_content=row-106")</f>
        <v/>
      </c>
      <c r="H115" s="9" t="str">
        <f aca="false">IF(A115="","",SUBSTITUTE(SUBSTITUTE(SUBSTITUTE(IF(F115="ar",$B$7,$B$6)," {name}",IF(B115="",""," "&amp;B115)),"{farm}",A115),"{link}",G115))</f>
        <v/>
      </c>
      <c r="I115" s="9" t="str">
        <f aca="false">IF(OR(A115="",D115=""),"",HYPERLINK("https://wa.me/"&amp;SUBSTITUTE(SUBSTITUTE(SUBSTITUTE(SUBSTITUTE(D115,"+","")," ",""),"-",""),"(","")&amp;"?text="&amp;_xlfn.ENCODEURL(H115),"Send on WhatsApp"))</f>
        <v/>
      </c>
      <c r="J115" s="7"/>
      <c r="K115" s="10"/>
      <c r="L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8" t="str">
        <f aca="false">IF(A116="","",$B$4&amp;"/"&amp;IF(F116="","en",F116)&amp;"/demo?farm="&amp;_xlfn.ENCODEURL(A116)&amp;"&amp;utm_source="&amp;IF(E116="","direct",E116)&amp;"&amp;utm_medium=outreach&amp;utm_campaign="&amp;_xlfn.ENCODEURL($B$5)&amp;"&amp;utm_content=row-107")</f>
        <v/>
      </c>
      <c r="H116" s="9" t="str">
        <f aca="false">IF(A116="","",SUBSTITUTE(SUBSTITUTE(SUBSTITUTE(IF(F116="ar",$B$7,$B$6)," {name}",IF(B116="",""," "&amp;B116)),"{farm}",A116),"{link}",G116))</f>
        <v/>
      </c>
      <c r="I116" s="9" t="str">
        <f aca="false">IF(OR(A116="",D116=""),"",HYPERLINK("https://wa.me/"&amp;SUBSTITUTE(SUBSTITUTE(SUBSTITUTE(SUBSTITUTE(D116,"+","")," ",""),"-",""),"(","")&amp;"?text="&amp;_xlfn.ENCODEURL(H116),"Send on WhatsApp"))</f>
        <v/>
      </c>
      <c r="J116" s="7"/>
      <c r="K116" s="10"/>
      <c r="L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8" t="str">
        <f aca="false">IF(A117="","",$B$4&amp;"/"&amp;IF(F117="","en",F117)&amp;"/demo?farm="&amp;_xlfn.ENCODEURL(A117)&amp;"&amp;utm_source="&amp;IF(E117="","direct",E117)&amp;"&amp;utm_medium=outreach&amp;utm_campaign="&amp;_xlfn.ENCODEURL($B$5)&amp;"&amp;utm_content=row-108")</f>
        <v/>
      </c>
      <c r="H117" s="9" t="str">
        <f aca="false">IF(A117="","",SUBSTITUTE(SUBSTITUTE(SUBSTITUTE(IF(F117="ar",$B$7,$B$6)," {name}",IF(B117="",""," "&amp;B117)),"{farm}",A117),"{link}",G117))</f>
        <v/>
      </c>
      <c r="I117" s="9" t="str">
        <f aca="false">IF(OR(A117="",D117=""),"",HYPERLINK("https://wa.me/"&amp;SUBSTITUTE(SUBSTITUTE(SUBSTITUTE(SUBSTITUTE(D117,"+","")," ",""),"-",""),"(","")&amp;"?text="&amp;_xlfn.ENCODEURL(H117),"Send on WhatsApp"))</f>
        <v/>
      </c>
      <c r="J117" s="7"/>
      <c r="K117" s="10"/>
      <c r="L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8" t="str">
        <f aca="false">IF(A118="","",$B$4&amp;"/"&amp;IF(F118="","en",F118)&amp;"/demo?farm="&amp;_xlfn.ENCODEURL(A118)&amp;"&amp;utm_source="&amp;IF(E118="","direct",E118)&amp;"&amp;utm_medium=outreach&amp;utm_campaign="&amp;_xlfn.ENCODEURL($B$5)&amp;"&amp;utm_content=row-109")</f>
        <v/>
      </c>
      <c r="H118" s="9" t="str">
        <f aca="false">IF(A118="","",SUBSTITUTE(SUBSTITUTE(SUBSTITUTE(IF(F118="ar",$B$7,$B$6)," {name}",IF(B118="",""," "&amp;B118)),"{farm}",A118),"{link}",G118))</f>
        <v/>
      </c>
      <c r="I118" s="9" t="str">
        <f aca="false">IF(OR(A118="",D118=""),"",HYPERLINK("https://wa.me/"&amp;SUBSTITUTE(SUBSTITUTE(SUBSTITUTE(SUBSTITUTE(D118,"+","")," ",""),"-",""),"(","")&amp;"?text="&amp;_xlfn.ENCODEURL(H118),"Send on WhatsApp"))</f>
        <v/>
      </c>
      <c r="J118" s="7"/>
      <c r="K118" s="10"/>
      <c r="L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8" t="str">
        <f aca="false">IF(A119="","",$B$4&amp;"/"&amp;IF(F119="","en",F119)&amp;"/demo?farm="&amp;_xlfn.ENCODEURL(A119)&amp;"&amp;utm_source="&amp;IF(E119="","direct",E119)&amp;"&amp;utm_medium=outreach&amp;utm_campaign="&amp;_xlfn.ENCODEURL($B$5)&amp;"&amp;utm_content=row-110")</f>
        <v/>
      </c>
      <c r="H119" s="9" t="str">
        <f aca="false">IF(A119="","",SUBSTITUTE(SUBSTITUTE(SUBSTITUTE(IF(F119="ar",$B$7,$B$6)," {name}",IF(B119="",""," "&amp;B119)),"{farm}",A119),"{link}",G119))</f>
        <v/>
      </c>
      <c r="I119" s="9" t="str">
        <f aca="false">IF(OR(A119="",D119=""),"",HYPERLINK("https://wa.me/"&amp;SUBSTITUTE(SUBSTITUTE(SUBSTITUTE(SUBSTITUTE(D119,"+","")," ",""),"-",""),"(","")&amp;"?text="&amp;_xlfn.ENCODEURL(H119),"Send on WhatsApp"))</f>
        <v/>
      </c>
      <c r="J119" s="7"/>
      <c r="K119" s="10"/>
      <c r="L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8" t="str">
        <f aca="false">IF(A120="","",$B$4&amp;"/"&amp;IF(F120="","en",F120)&amp;"/demo?farm="&amp;_xlfn.ENCODEURL(A120)&amp;"&amp;utm_source="&amp;IF(E120="","direct",E120)&amp;"&amp;utm_medium=outreach&amp;utm_campaign="&amp;_xlfn.ENCODEURL($B$5)&amp;"&amp;utm_content=row-111")</f>
        <v/>
      </c>
      <c r="H120" s="9" t="str">
        <f aca="false">IF(A120="","",SUBSTITUTE(SUBSTITUTE(SUBSTITUTE(IF(F120="ar",$B$7,$B$6)," {name}",IF(B120="",""," "&amp;B120)),"{farm}",A120),"{link}",G120))</f>
        <v/>
      </c>
      <c r="I120" s="9" t="str">
        <f aca="false">IF(OR(A120="",D120=""),"",HYPERLINK("https://wa.me/"&amp;SUBSTITUTE(SUBSTITUTE(SUBSTITUTE(SUBSTITUTE(D120,"+","")," ",""),"-",""),"(","")&amp;"?text="&amp;_xlfn.ENCODEURL(H120),"Send on WhatsApp"))</f>
        <v/>
      </c>
      <c r="J120" s="7"/>
      <c r="K120" s="10"/>
      <c r="L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8" t="str">
        <f aca="false">IF(A121="","",$B$4&amp;"/"&amp;IF(F121="","en",F121)&amp;"/demo?farm="&amp;_xlfn.ENCODEURL(A121)&amp;"&amp;utm_source="&amp;IF(E121="","direct",E121)&amp;"&amp;utm_medium=outreach&amp;utm_campaign="&amp;_xlfn.ENCODEURL($B$5)&amp;"&amp;utm_content=row-112")</f>
        <v/>
      </c>
      <c r="H121" s="9" t="str">
        <f aca="false">IF(A121="","",SUBSTITUTE(SUBSTITUTE(SUBSTITUTE(IF(F121="ar",$B$7,$B$6)," {name}",IF(B121="",""," "&amp;B121)),"{farm}",A121),"{link}",G121))</f>
        <v/>
      </c>
      <c r="I121" s="9" t="str">
        <f aca="false">IF(OR(A121="",D121=""),"",HYPERLINK("https://wa.me/"&amp;SUBSTITUTE(SUBSTITUTE(SUBSTITUTE(SUBSTITUTE(D121,"+","")," ",""),"-",""),"(","")&amp;"?text="&amp;_xlfn.ENCODEURL(H121),"Send on WhatsApp"))</f>
        <v/>
      </c>
      <c r="J121" s="7"/>
      <c r="K121" s="10"/>
      <c r="L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8" t="str">
        <f aca="false">IF(A122="","",$B$4&amp;"/"&amp;IF(F122="","en",F122)&amp;"/demo?farm="&amp;_xlfn.ENCODEURL(A122)&amp;"&amp;utm_source="&amp;IF(E122="","direct",E122)&amp;"&amp;utm_medium=outreach&amp;utm_campaign="&amp;_xlfn.ENCODEURL($B$5)&amp;"&amp;utm_content=row-113")</f>
        <v/>
      </c>
      <c r="H122" s="9" t="str">
        <f aca="false">IF(A122="","",SUBSTITUTE(SUBSTITUTE(SUBSTITUTE(IF(F122="ar",$B$7,$B$6)," {name}",IF(B122="",""," "&amp;B122)),"{farm}",A122),"{link}",G122))</f>
        <v/>
      </c>
      <c r="I122" s="9" t="str">
        <f aca="false">IF(OR(A122="",D122=""),"",HYPERLINK("https://wa.me/"&amp;SUBSTITUTE(SUBSTITUTE(SUBSTITUTE(SUBSTITUTE(D122,"+","")," ",""),"-",""),"(","")&amp;"?text="&amp;_xlfn.ENCODEURL(H122),"Send on WhatsApp"))</f>
        <v/>
      </c>
      <c r="J122" s="7"/>
      <c r="K122" s="10"/>
      <c r="L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8" t="str">
        <f aca="false">IF(A123="","",$B$4&amp;"/"&amp;IF(F123="","en",F123)&amp;"/demo?farm="&amp;_xlfn.ENCODEURL(A123)&amp;"&amp;utm_source="&amp;IF(E123="","direct",E123)&amp;"&amp;utm_medium=outreach&amp;utm_campaign="&amp;_xlfn.ENCODEURL($B$5)&amp;"&amp;utm_content=row-114")</f>
        <v/>
      </c>
      <c r="H123" s="9" t="str">
        <f aca="false">IF(A123="","",SUBSTITUTE(SUBSTITUTE(SUBSTITUTE(IF(F123="ar",$B$7,$B$6)," {name}",IF(B123="",""," "&amp;B123)),"{farm}",A123),"{link}",G123))</f>
        <v/>
      </c>
      <c r="I123" s="9" t="str">
        <f aca="false">IF(OR(A123="",D123=""),"",HYPERLINK("https://wa.me/"&amp;SUBSTITUTE(SUBSTITUTE(SUBSTITUTE(SUBSTITUTE(D123,"+","")," ",""),"-",""),"(","")&amp;"?text="&amp;_xlfn.ENCODEURL(H123),"Send on WhatsApp"))</f>
        <v/>
      </c>
      <c r="J123" s="7"/>
      <c r="K123" s="10"/>
      <c r="L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8" t="str">
        <f aca="false">IF(A124="","",$B$4&amp;"/"&amp;IF(F124="","en",F124)&amp;"/demo?farm="&amp;_xlfn.ENCODEURL(A124)&amp;"&amp;utm_source="&amp;IF(E124="","direct",E124)&amp;"&amp;utm_medium=outreach&amp;utm_campaign="&amp;_xlfn.ENCODEURL($B$5)&amp;"&amp;utm_content=row-115")</f>
        <v/>
      </c>
      <c r="H124" s="9" t="str">
        <f aca="false">IF(A124="","",SUBSTITUTE(SUBSTITUTE(SUBSTITUTE(IF(F124="ar",$B$7,$B$6)," {name}",IF(B124="",""," "&amp;B124)),"{farm}",A124),"{link}",G124))</f>
        <v/>
      </c>
      <c r="I124" s="9" t="str">
        <f aca="false">IF(OR(A124="",D124=""),"",HYPERLINK("https://wa.me/"&amp;SUBSTITUTE(SUBSTITUTE(SUBSTITUTE(SUBSTITUTE(D124,"+","")," ",""),"-",""),"(","")&amp;"?text="&amp;_xlfn.ENCODEURL(H124),"Send on WhatsApp"))</f>
        <v/>
      </c>
      <c r="J124" s="7"/>
      <c r="K124" s="10"/>
      <c r="L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8" t="str">
        <f aca="false">IF(A125="","",$B$4&amp;"/"&amp;IF(F125="","en",F125)&amp;"/demo?farm="&amp;_xlfn.ENCODEURL(A125)&amp;"&amp;utm_source="&amp;IF(E125="","direct",E125)&amp;"&amp;utm_medium=outreach&amp;utm_campaign="&amp;_xlfn.ENCODEURL($B$5)&amp;"&amp;utm_content=row-116")</f>
        <v/>
      </c>
      <c r="H125" s="9" t="str">
        <f aca="false">IF(A125="","",SUBSTITUTE(SUBSTITUTE(SUBSTITUTE(IF(F125="ar",$B$7,$B$6)," {name}",IF(B125="",""," "&amp;B125)),"{farm}",A125),"{link}",G125))</f>
        <v/>
      </c>
      <c r="I125" s="9" t="str">
        <f aca="false">IF(OR(A125="",D125=""),"",HYPERLINK("https://wa.me/"&amp;SUBSTITUTE(SUBSTITUTE(SUBSTITUTE(SUBSTITUTE(D125,"+","")," ",""),"-",""),"(","")&amp;"?text="&amp;_xlfn.ENCODEURL(H125),"Send on WhatsApp"))</f>
        <v/>
      </c>
      <c r="J125" s="7"/>
      <c r="K125" s="10"/>
      <c r="L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8" t="str">
        <f aca="false">IF(A126="","",$B$4&amp;"/"&amp;IF(F126="","en",F126)&amp;"/demo?farm="&amp;_xlfn.ENCODEURL(A126)&amp;"&amp;utm_source="&amp;IF(E126="","direct",E126)&amp;"&amp;utm_medium=outreach&amp;utm_campaign="&amp;_xlfn.ENCODEURL($B$5)&amp;"&amp;utm_content=row-117")</f>
        <v/>
      </c>
      <c r="H126" s="9" t="str">
        <f aca="false">IF(A126="","",SUBSTITUTE(SUBSTITUTE(SUBSTITUTE(IF(F126="ar",$B$7,$B$6)," {name}",IF(B126="",""," "&amp;B126)),"{farm}",A126),"{link}",G126))</f>
        <v/>
      </c>
      <c r="I126" s="9" t="str">
        <f aca="false">IF(OR(A126="",D126=""),"",HYPERLINK("https://wa.me/"&amp;SUBSTITUTE(SUBSTITUTE(SUBSTITUTE(SUBSTITUTE(D126,"+","")," ",""),"-",""),"(","")&amp;"?text="&amp;_xlfn.ENCODEURL(H126),"Send on WhatsApp"))</f>
        <v/>
      </c>
      <c r="J126" s="7"/>
      <c r="K126" s="10"/>
      <c r="L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8" t="str">
        <f aca="false">IF(A127="","",$B$4&amp;"/"&amp;IF(F127="","en",F127)&amp;"/demo?farm="&amp;_xlfn.ENCODEURL(A127)&amp;"&amp;utm_source="&amp;IF(E127="","direct",E127)&amp;"&amp;utm_medium=outreach&amp;utm_campaign="&amp;_xlfn.ENCODEURL($B$5)&amp;"&amp;utm_content=row-118")</f>
        <v/>
      </c>
      <c r="H127" s="9" t="str">
        <f aca="false">IF(A127="","",SUBSTITUTE(SUBSTITUTE(SUBSTITUTE(IF(F127="ar",$B$7,$B$6)," {name}",IF(B127="",""," "&amp;B127)),"{farm}",A127),"{link}",G127))</f>
        <v/>
      </c>
      <c r="I127" s="9" t="str">
        <f aca="false">IF(OR(A127="",D127=""),"",HYPERLINK("https://wa.me/"&amp;SUBSTITUTE(SUBSTITUTE(SUBSTITUTE(SUBSTITUTE(D127,"+","")," ",""),"-",""),"(","")&amp;"?text="&amp;_xlfn.ENCODEURL(H127),"Send on WhatsApp"))</f>
        <v/>
      </c>
      <c r="J127" s="7"/>
      <c r="K127" s="10"/>
      <c r="L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8" t="str">
        <f aca="false">IF(A128="","",$B$4&amp;"/"&amp;IF(F128="","en",F128)&amp;"/demo?farm="&amp;_xlfn.ENCODEURL(A128)&amp;"&amp;utm_source="&amp;IF(E128="","direct",E128)&amp;"&amp;utm_medium=outreach&amp;utm_campaign="&amp;_xlfn.ENCODEURL($B$5)&amp;"&amp;utm_content=row-119")</f>
        <v/>
      </c>
      <c r="H128" s="9" t="str">
        <f aca="false">IF(A128="","",SUBSTITUTE(SUBSTITUTE(SUBSTITUTE(IF(F128="ar",$B$7,$B$6)," {name}",IF(B128="",""," "&amp;B128)),"{farm}",A128),"{link}",G128))</f>
        <v/>
      </c>
      <c r="I128" s="9" t="str">
        <f aca="false">IF(OR(A128="",D128=""),"",HYPERLINK("https://wa.me/"&amp;SUBSTITUTE(SUBSTITUTE(SUBSTITUTE(SUBSTITUTE(D128,"+","")," ",""),"-",""),"(","")&amp;"?text="&amp;_xlfn.ENCODEURL(H128),"Send on WhatsApp"))</f>
        <v/>
      </c>
      <c r="J128" s="7"/>
      <c r="K128" s="10"/>
      <c r="L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8" t="str">
        <f aca="false">IF(A129="","",$B$4&amp;"/"&amp;IF(F129="","en",F129)&amp;"/demo?farm="&amp;_xlfn.ENCODEURL(A129)&amp;"&amp;utm_source="&amp;IF(E129="","direct",E129)&amp;"&amp;utm_medium=outreach&amp;utm_campaign="&amp;_xlfn.ENCODEURL($B$5)&amp;"&amp;utm_content=row-120")</f>
        <v/>
      </c>
      <c r="H129" s="9" t="str">
        <f aca="false">IF(A129="","",SUBSTITUTE(SUBSTITUTE(SUBSTITUTE(IF(F129="ar",$B$7,$B$6)," {name}",IF(B129="",""," "&amp;B129)),"{farm}",A129),"{link}",G129))</f>
        <v/>
      </c>
      <c r="I129" s="9" t="str">
        <f aca="false">IF(OR(A129="",D129=""),"",HYPERLINK("https://wa.me/"&amp;SUBSTITUTE(SUBSTITUTE(SUBSTITUTE(SUBSTITUTE(D129,"+","")," ",""),"-",""),"(","")&amp;"?text="&amp;_xlfn.ENCODEURL(H129),"Send on WhatsApp"))</f>
        <v/>
      </c>
      <c r="J129" s="7"/>
      <c r="K129" s="10"/>
      <c r="L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8" t="str">
        <f aca="false">IF(A130="","",$B$4&amp;"/"&amp;IF(F130="","en",F130)&amp;"/demo?farm="&amp;_xlfn.ENCODEURL(A130)&amp;"&amp;utm_source="&amp;IF(E130="","direct",E130)&amp;"&amp;utm_medium=outreach&amp;utm_campaign="&amp;_xlfn.ENCODEURL($B$5)&amp;"&amp;utm_content=row-121")</f>
        <v/>
      </c>
      <c r="H130" s="9" t="str">
        <f aca="false">IF(A130="","",SUBSTITUTE(SUBSTITUTE(SUBSTITUTE(IF(F130="ar",$B$7,$B$6)," {name}",IF(B130="",""," "&amp;B130)),"{farm}",A130),"{link}",G130))</f>
        <v/>
      </c>
      <c r="I130" s="9" t="str">
        <f aca="false">IF(OR(A130="",D130=""),"",HYPERLINK("https://wa.me/"&amp;SUBSTITUTE(SUBSTITUTE(SUBSTITUTE(SUBSTITUTE(D130,"+","")," ",""),"-",""),"(","")&amp;"?text="&amp;_xlfn.ENCODEURL(H130),"Send on WhatsApp"))</f>
        <v/>
      </c>
      <c r="J130" s="7"/>
      <c r="K130" s="10"/>
      <c r="L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8" t="str">
        <f aca="false">IF(A131="","",$B$4&amp;"/"&amp;IF(F131="","en",F131)&amp;"/demo?farm="&amp;_xlfn.ENCODEURL(A131)&amp;"&amp;utm_source="&amp;IF(E131="","direct",E131)&amp;"&amp;utm_medium=outreach&amp;utm_campaign="&amp;_xlfn.ENCODEURL($B$5)&amp;"&amp;utm_content=row-122")</f>
        <v/>
      </c>
      <c r="H131" s="9" t="str">
        <f aca="false">IF(A131="","",SUBSTITUTE(SUBSTITUTE(SUBSTITUTE(IF(F131="ar",$B$7,$B$6)," {name}",IF(B131="",""," "&amp;B131)),"{farm}",A131),"{link}",G131))</f>
        <v/>
      </c>
      <c r="I131" s="9" t="str">
        <f aca="false">IF(OR(A131="",D131=""),"",HYPERLINK("https://wa.me/"&amp;SUBSTITUTE(SUBSTITUTE(SUBSTITUTE(SUBSTITUTE(D131,"+","")," ",""),"-",""),"(","")&amp;"?text="&amp;_xlfn.ENCODEURL(H131),"Send on WhatsApp"))</f>
        <v/>
      </c>
      <c r="J131" s="7"/>
      <c r="K131" s="10"/>
      <c r="L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8" t="str">
        <f aca="false">IF(A132="","",$B$4&amp;"/"&amp;IF(F132="","en",F132)&amp;"/demo?farm="&amp;_xlfn.ENCODEURL(A132)&amp;"&amp;utm_source="&amp;IF(E132="","direct",E132)&amp;"&amp;utm_medium=outreach&amp;utm_campaign="&amp;_xlfn.ENCODEURL($B$5)&amp;"&amp;utm_content=row-123")</f>
        <v/>
      </c>
      <c r="H132" s="9" t="str">
        <f aca="false">IF(A132="","",SUBSTITUTE(SUBSTITUTE(SUBSTITUTE(IF(F132="ar",$B$7,$B$6)," {name}",IF(B132="",""," "&amp;B132)),"{farm}",A132),"{link}",G132))</f>
        <v/>
      </c>
      <c r="I132" s="9" t="str">
        <f aca="false">IF(OR(A132="",D132=""),"",HYPERLINK("https://wa.me/"&amp;SUBSTITUTE(SUBSTITUTE(SUBSTITUTE(SUBSTITUTE(D132,"+","")," ",""),"-",""),"(","")&amp;"?text="&amp;_xlfn.ENCODEURL(H132),"Send on WhatsApp"))</f>
        <v/>
      </c>
      <c r="J132" s="7"/>
      <c r="K132" s="10"/>
      <c r="L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8" t="str">
        <f aca="false">IF(A133="","",$B$4&amp;"/"&amp;IF(F133="","en",F133)&amp;"/demo?farm="&amp;_xlfn.ENCODEURL(A133)&amp;"&amp;utm_source="&amp;IF(E133="","direct",E133)&amp;"&amp;utm_medium=outreach&amp;utm_campaign="&amp;_xlfn.ENCODEURL($B$5)&amp;"&amp;utm_content=row-124")</f>
        <v/>
      </c>
      <c r="H133" s="9" t="str">
        <f aca="false">IF(A133="","",SUBSTITUTE(SUBSTITUTE(SUBSTITUTE(IF(F133="ar",$B$7,$B$6)," {name}",IF(B133="",""," "&amp;B133)),"{farm}",A133),"{link}",G133))</f>
        <v/>
      </c>
      <c r="I133" s="9" t="str">
        <f aca="false">IF(OR(A133="",D133=""),"",HYPERLINK("https://wa.me/"&amp;SUBSTITUTE(SUBSTITUTE(SUBSTITUTE(SUBSTITUTE(D133,"+","")," ",""),"-",""),"(","")&amp;"?text="&amp;_xlfn.ENCODEURL(H133),"Send on WhatsApp"))</f>
        <v/>
      </c>
      <c r="J133" s="7"/>
      <c r="K133" s="10"/>
      <c r="L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8" t="str">
        <f aca="false">IF(A134="","",$B$4&amp;"/"&amp;IF(F134="","en",F134)&amp;"/demo?farm="&amp;_xlfn.ENCODEURL(A134)&amp;"&amp;utm_source="&amp;IF(E134="","direct",E134)&amp;"&amp;utm_medium=outreach&amp;utm_campaign="&amp;_xlfn.ENCODEURL($B$5)&amp;"&amp;utm_content=row-125")</f>
        <v/>
      </c>
      <c r="H134" s="9" t="str">
        <f aca="false">IF(A134="","",SUBSTITUTE(SUBSTITUTE(SUBSTITUTE(IF(F134="ar",$B$7,$B$6)," {name}",IF(B134="",""," "&amp;B134)),"{farm}",A134),"{link}",G134))</f>
        <v/>
      </c>
      <c r="I134" s="9" t="str">
        <f aca="false">IF(OR(A134="",D134=""),"",HYPERLINK("https://wa.me/"&amp;SUBSTITUTE(SUBSTITUTE(SUBSTITUTE(SUBSTITUTE(D134,"+","")," ",""),"-",""),"(","")&amp;"?text="&amp;_xlfn.ENCODEURL(H134),"Send on WhatsApp"))</f>
        <v/>
      </c>
      <c r="J134" s="7"/>
      <c r="K134" s="10"/>
      <c r="L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8" t="str">
        <f aca="false">IF(A135="","",$B$4&amp;"/"&amp;IF(F135="","en",F135)&amp;"/demo?farm="&amp;_xlfn.ENCODEURL(A135)&amp;"&amp;utm_source="&amp;IF(E135="","direct",E135)&amp;"&amp;utm_medium=outreach&amp;utm_campaign="&amp;_xlfn.ENCODEURL($B$5)&amp;"&amp;utm_content=row-126")</f>
        <v/>
      </c>
      <c r="H135" s="9" t="str">
        <f aca="false">IF(A135="","",SUBSTITUTE(SUBSTITUTE(SUBSTITUTE(IF(F135="ar",$B$7,$B$6)," {name}",IF(B135="",""," "&amp;B135)),"{farm}",A135),"{link}",G135))</f>
        <v/>
      </c>
      <c r="I135" s="9" t="str">
        <f aca="false">IF(OR(A135="",D135=""),"",HYPERLINK("https://wa.me/"&amp;SUBSTITUTE(SUBSTITUTE(SUBSTITUTE(SUBSTITUTE(D135,"+","")," ",""),"-",""),"(","")&amp;"?text="&amp;_xlfn.ENCODEURL(H135),"Send on WhatsApp"))</f>
        <v/>
      </c>
      <c r="J135" s="7"/>
      <c r="K135" s="10"/>
      <c r="L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8" t="str">
        <f aca="false">IF(A136="","",$B$4&amp;"/"&amp;IF(F136="","en",F136)&amp;"/demo?farm="&amp;_xlfn.ENCODEURL(A136)&amp;"&amp;utm_source="&amp;IF(E136="","direct",E136)&amp;"&amp;utm_medium=outreach&amp;utm_campaign="&amp;_xlfn.ENCODEURL($B$5)&amp;"&amp;utm_content=row-127")</f>
        <v/>
      </c>
      <c r="H136" s="9" t="str">
        <f aca="false">IF(A136="","",SUBSTITUTE(SUBSTITUTE(SUBSTITUTE(IF(F136="ar",$B$7,$B$6)," {name}",IF(B136="",""," "&amp;B136)),"{farm}",A136),"{link}",G136))</f>
        <v/>
      </c>
      <c r="I136" s="9" t="str">
        <f aca="false">IF(OR(A136="",D136=""),"",HYPERLINK("https://wa.me/"&amp;SUBSTITUTE(SUBSTITUTE(SUBSTITUTE(SUBSTITUTE(D136,"+","")," ",""),"-",""),"(","")&amp;"?text="&amp;_xlfn.ENCODEURL(H136),"Send on WhatsApp"))</f>
        <v/>
      </c>
      <c r="J136" s="7"/>
      <c r="K136" s="10"/>
      <c r="L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8" t="str">
        <f aca="false">IF(A137="","",$B$4&amp;"/"&amp;IF(F137="","en",F137)&amp;"/demo?farm="&amp;_xlfn.ENCODEURL(A137)&amp;"&amp;utm_source="&amp;IF(E137="","direct",E137)&amp;"&amp;utm_medium=outreach&amp;utm_campaign="&amp;_xlfn.ENCODEURL($B$5)&amp;"&amp;utm_content=row-128")</f>
        <v/>
      </c>
      <c r="H137" s="9" t="str">
        <f aca="false">IF(A137="","",SUBSTITUTE(SUBSTITUTE(SUBSTITUTE(IF(F137="ar",$B$7,$B$6)," {name}",IF(B137="",""," "&amp;B137)),"{farm}",A137),"{link}",G137))</f>
        <v/>
      </c>
      <c r="I137" s="9" t="str">
        <f aca="false">IF(OR(A137="",D137=""),"",HYPERLINK("https://wa.me/"&amp;SUBSTITUTE(SUBSTITUTE(SUBSTITUTE(SUBSTITUTE(D137,"+","")," ",""),"-",""),"(","")&amp;"?text="&amp;_xlfn.ENCODEURL(H137),"Send on WhatsApp"))</f>
        <v/>
      </c>
      <c r="J137" s="7"/>
      <c r="K137" s="10"/>
      <c r="L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8" t="str">
        <f aca="false">IF(A138="","",$B$4&amp;"/"&amp;IF(F138="","en",F138)&amp;"/demo?farm="&amp;_xlfn.ENCODEURL(A138)&amp;"&amp;utm_source="&amp;IF(E138="","direct",E138)&amp;"&amp;utm_medium=outreach&amp;utm_campaign="&amp;_xlfn.ENCODEURL($B$5)&amp;"&amp;utm_content=row-129")</f>
        <v/>
      </c>
      <c r="H138" s="9" t="str">
        <f aca="false">IF(A138="","",SUBSTITUTE(SUBSTITUTE(SUBSTITUTE(IF(F138="ar",$B$7,$B$6)," {name}",IF(B138="",""," "&amp;B138)),"{farm}",A138),"{link}",G138))</f>
        <v/>
      </c>
      <c r="I138" s="9" t="str">
        <f aca="false">IF(OR(A138="",D138=""),"",HYPERLINK("https://wa.me/"&amp;SUBSTITUTE(SUBSTITUTE(SUBSTITUTE(SUBSTITUTE(D138,"+","")," ",""),"-",""),"(","")&amp;"?text="&amp;_xlfn.ENCODEURL(H138),"Send on WhatsApp"))</f>
        <v/>
      </c>
      <c r="J138" s="7"/>
      <c r="K138" s="10"/>
      <c r="L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8" t="str">
        <f aca="false">IF(A139="","",$B$4&amp;"/"&amp;IF(F139="","en",F139)&amp;"/demo?farm="&amp;_xlfn.ENCODEURL(A139)&amp;"&amp;utm_source="&amp;IF(E139="","direct",E139)&amp;"&amp;utm_medium=outreach&amp;utm_campaign="&amp;_xlfn.ENCODEURL($B$5)&amp;"&amp;utm_content=row-130")</f>
        <v/>
      </c>
      <c r="H139" s="9" t="str">
        <f aca="false">IF(A139="","",SUBSTITUTE(SUBSTITUTE(SUBSTITUTE(IF(F139="ar",$B$7,$B$6)," {name}",IF(B139="",""," "&amp;B139)),"{farm}",A139),"{link}",G139))</f>
        <v/>
      </c>
      <c r="I139" s="9" t="str">
        <f aca="false">IF(OR(A139="",D139=""),"",HYPERLINK("https://wa.me/"&amp;SUBSTITUTE(SUBSTITUTE(SUBSTITUTE(SUBSTITUTE(D139,"+","")," ",""),"-",""),"(","")&amp;"?text="&amp;_xlfn.ENCODEURL(H139),"Send on WhatsApp"))</f>
        <v/>
      </c>
      <c r="J139" s="7"/>
      <c r="K139" s="10"/>
      <c r="L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8" t="str">
        <f aca="false">IF(A140="","",$B$4&amp;"/"&amp;IF(F140="","en",F140)&amp;"/demo?farm="&amp;_xlfn.ENCODEURL(A140)&amp;"&amp;utm_source="&amp;IF(E140="","direct",E140)&amp;"&amp;utm_medium=outreach&amp;utm_campaign="&amp;_xlfn.ENCODEURL($B$5)&amp;"&amp;utm_content=row-131")</f>
        <v/>
      </c>
      <c r="H140" s="9" t="str">
        <f aca="false">IF(A140="","",SUBSTITUTE(SUBSTITUTE(SUBSTITUTE(IF(F140="ar",$B$7,$B$6)," {name}",IF(B140="",""," "&amp;B140)),"{farm}",A140),"{link}",G140))</f>
        <v/>
      </c>
      <c r="I140" s="9" t="str">
        <f aca="false">IF(OR(A140="",D140=""),"",HYPERLINK("https://wa.me/"&amp;SUBSTITUTE(SUBSTITUTE(SUBSTITUTE(SUBSTITUTE(D140,"+","")," ",""),"-",""),"(","")&amp;"?text="&amp;_xlfn.ENCODEURL(H140),"Send on WhatsApp"))</f>
        <v/>
      </c>
      <c r="J140" s="7"/>
      <c r="K140" s="10"/>
      <c r="L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8" t="str">
        <f aca="false">IF(A141="","",$B$4&amp;"/"&amp;IF(F141="","en",F141)&amp;"/demo?farm="&amp;_xlfn.ENCODEURL(A141)&amp;"&amp;utm_source="&amp;IF(E141="","direct",E141)&amp;"&amp;utm_medium=outreach&amp;utm_campaign="&amp;_xlfn.ENCODEURL($B$5)&amp;"&amp;utm_content=row-132")</f>
        <v/>
      </c>
      <c r="H141" s="9" t="str">
        <f aca="false">IF(A141="","",SUBSTITUTE(SUBSTITUTE(SUBSTITUTE(IF(F141="ar",$B$7,$B$6)," {name}",IF(B141="",""," "&amp;B141)),"{farm}",A141),"{link}",G141))</f>
        <v/>
      </c>
      <c r="I141" s="9" t="str">
        <f aca="false">IF(OR(A141="",D141=""),"",HYPERLINK("https://wa.me/"&amp;SUBSTITUTE(SUBSTITUTE(SUBSTITUTE(SUBSTITUTE(D141,"+","")," ",""),"-",""),"(","")&amp;"?text="&amp;_xlfn.ENCODEURL(H141),"Send on WhatsApp"))</f>
        <v/>
      </c>
      <c r="J141" s="7"/>
      <c r="K141" s="10"/>
      <c r="L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8" t="str">
        <f aca="false">IF(A142="","",$B$4&amp;"/"&amp;IF(F142="","en",F142)&amp;"/demo?farm="&amp;_xlfn.ENCODEURL(A142)&amp;"&amp;utm_source="&amp;IF(E142="","direct",E142)&amp;"&amp;utm_medium=outreach&amp;utm_campaign="&amp;_xlfn.ENCODEURL($B$5)&amp;"&amp;utm_content=row-133")</f>
        <v/>
      </c>
      <c r="H142" s="9" t="str">
        <f aca="false">IF(A142="","",SUBSTITUTE(SUBSTITUTE(SUBSTITUTE(IF(F142="ar",$B$7,$B$6)," {name}",IF(B142="",""," "&amp;B142)),"{farm}",A142),"{link}",G142))</f>
        <v/>
      </c>
      <c r="I142" s="9" t="str">
        <f aca="false">IF(OR(A142="",D142=""),"",HYPERLINK("https://wa.me/"&amp;SUBSTITUTE(SUBSTITUTE(SUBSTITUTE(SUBSTITUTE(D142,"+","")," ",""),"-",""),"(","")&amp;"?text="&amp;_xlfn.ENCODEURL(H142),"Send on WhatsApp"))</f>
        <v/>
      </c>
      <c r="J142" s="7"/>
      <c r="K142" s="10"/>
      <c r="L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8" t="str">
        <f aca="false">IF(A143="","",$B$4&amp;"/"&amp;IF(F143="","en",F143)&amp;"/demo?farm="&amp;_xlfn.ENCODEURL(A143)&amp;"&amp;utm_source="&amp;IF(E143="","direct",E143)&amp;"&amp;utm_medium=outreach&amp;utm_campaign="&amp;_xlfn.ENCODEURL($B$5)&amp;"&amp;utm_content=row-134")</f>
        <v/>
      </c>
      <c r="H143" s="9" t="str">
        <f aca="false">IF(A143="","",SUBSTITUTE(SUBSTITUTE(SUBSTITUTE(IF(F143="ar",$B$7,$B$6)," {name}",IF(B143="",""," "&amp;B143)),"{farm}",A143),"{link}",G143))</f>
        <v/>
      </c>
      <c r="I143" s="9" t="str">
        <f aca="false">IF(OR(A143="",D143=""),"",HYPERLINK("https://wa.me/"&amp;SUBSTITUTE(SUBSTITUTE(SUBSTITUTE(SUBSTITUTE(D143,"+","")," ",""),"-",""),"(","")&amp;"?text="&amp;_xlfn.ENCODEURL(H143),"Send on WhatsApp"))</f>
        <v/>
      </c>
      <c r="J143" s="7"/>
      <c r="K143" s="10"/>
      <c r="L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8" t="str">
        <f aca="false">IF(A144="","",$B$4&amp;"/"&amp;IF(F144="","en",F144)&amp;"/demo?farm="&amp;_xlfn.ENCODEURL(A144)&amp;"&amp;utm_source="&amp;IF(E144="","direct",E144)&amp;"&amp;utm_medium=outreach&amp;utm_campaign="&amp;_xlfn.ENCODEURL($B$5)&amp;"&amp;utm_content=row-135")</f>
        <v/>
      </c>
      <c r="H144" s="9" t="str">
        <f aca="false">IF(A144="","",SUBSTITUTE(SUBSTITUTE(SUBSTITUTE(IF(F144="ar",$B$7,$B$6)," {name}",IF(B144="",""," "&amp;B144)),"{farm}",A144),"{link}",G144))</f>
        <v/>
      </c>
      <c r="I144" s="9" t="str">
        <f aca="false">IF(OR(A144="",D144=""),"",HYPERLINK("https://wa.me/"&amp;SUBSTITUTE(SUBSTITUTE(SUBSTITUTE(SUBSTITUTE(D144,"+","")," ",""),"-",""),"(","")&amp;"?text="&amp;_xlfn.ENCODEURL(H144),"Send on WhatsApp"))</f>
        <v/>
      </c>
      <c r="J144" s="7"/>
      <c r="K144" s="10"/>
      <c r="L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8" t="str">
        <f aca="false">IF(A145="","",$B$4&amp;"/"&amp;IF(F145="","en",F145)&amp;"/demo?farm="&amp;_xlfn.ENCODEURL(A145)&amp;"&amp;utm_source="&amp;IF(E145="","direct",E145)&amp;"&amp;utm_medium=outreach&amp;utm_campaign="&amp;_xlfn.ENCODEURL($B$5)&amp;"&amp;utm_content=row-136")</f>
        <v/>
      </c>
      <c r="H145" s="9" t="str">
        <f aca="false">IF(A145="","",SUBSTITUTE(SUBSTITUTE(SUBSTITUTE(IF(F145="ar",$B$7,$B$6)," {name}",IF(B145="",""," "&amp;B145)),"{farm}",A145),"{link}",G145))</f>
        <v/>
      </c>
      <c r="I145" s="9" t="str">
        <f aca="false">IF(OR(A145="",D145=""),"",HYPERLINK("https://wa.me/"&amp;SUBSTITUTE(SUBSTITUTE(SUBSTITUTE(SUBSTITUTE(D145,"+","")," ",""),"-",""),"(","")&amp;"?text="&amp;_xlfn.ENCODEURL(H145),"Send on WhatsApp"))</f>
        <v/>
      </c>
      <c r="J145" s="7"/>
      <c r="K145" s="10"/>
      <c r="L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8" t="str">
        <f aca="false">IF(A146="","",$B$4&amp;"/"&amp;IF(F146="","en",F146)&amp;"/demo?farm="&amp;_xlfn.ENCODEURL(A146)&amp;"&amp;utm_source="&amp;IF(E146="","direct",E146)&amp;"&amp;utm_medium=outreach&amp;utm_campaign="&amp;_xlfn.ENCODEURL($B$5)&amp;"&amp;utm_content=row-137")</f>
        <v/>
      </c>
      <c r="H146" s="9" t="str">
        <f aca="false">IF(A146="","",SUBSTITUTE(SUBSTITUTE(SUBSTITUTE(IF(F146="ar",$B$7,$B$6)," {name}",IF(B146="",""," "&amp;B146)),"{farm}",A146),"{link}",G146))</f>
        <v/>
      </c>
      <c r="I146" s="9" t="str">
        <f aca="false">IF(OR(A146="",D146=""),"",HYPERLINK("https://wa.me/"&amp;SUBSTITUTE(SUBSTITUTE(SUBSTITUTE(SUBSTITUTE(D146,"+","")," ",""),"-",""),"(","")&amp;"?text="&amp;_xlfn.ENCODEURL(H146),"Send on WhatsApp"))</f>
        <v/>
      </c>
      <c r="J146" s="7"/>
      <c r="K146" s="10"/>
      <c r="L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8" t="str">
        <f aca="false">IF(A147="","",$B$4&amp;"/"&amp;IF(F147="","en",F147)&amp;"/demo?farm="&amp;_xlfn.ENCODEURL(A147)&amp;"&amp;utm_source="&amp;IF(E147="","direct",E147)&amp;"&amp;utm_medium=outreach&amp;utm_campaign="&amp;_xlfn.ENCODEURL($B$5)&amp;"&amp;utm_content=row-138")</f>
        <v/>
      </c>
      <c r="H147" s="9" t="str">
        <f aca="false">IF(A147="","",SUBSTITUTE(SUBSTITUTE(SUBSTITUTE(IF(F147="ar",$B$7,$B$6)," {name}",IF(B147="",""," "&amp;B147)),"{farm}",A147),"{link}",G147))</f>
        <v/>
      </c>
      <c r="I147" s="9" t="str">
        <f aca="false">IF(OR(A147="",D147=""),"",HYPERLINK("https://wa.me/"&amp;SUBSTITUTE(SUBSTITUTE(SUBSTITUTE(SUBSTITUTE(D147,"+","")," ",""),"-",""),"(","")&amp;"?text="&amp;_xlfn.ENCODEURL(H147),"Send on WhatsApp"))</f>
        <v/>
      </c>
      <c r="J147" s="7"/>
      <c r="K147" s="10"/>
      <c r="L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8" t="str">
        <f aca="false">IF(A148="","",$B$4&amp;"/"&amp;IF(F148="","en",F148)&amp;"/demo?farm="&amp;_xlfn.ENCODEURL(A148)&amp;"&amp;utm_source="&amp;IF(E148="","direct",E148)&amp;"&amp;utm_medium=outreach&amp;utm_campaign="&amp;_xlfn.ENCODEURL($B$5)&amp;"&amp;utm_content=row-139")</f>
        <v/>
      </c>
      <c r="H148" s="9" t="str">
        <f aca="false">IF(A148="","",SUBSTITUTE(SUBSTITUTE(SUBSTITUTE(IF(F148="ar",$B$7,$B$6)," {name}",IF(B148="",""," "&amp;B148)),"{farm}",A148),"{link}",G148))</f>
        <v/>
      </c>
      <c r="I148" s="9" t="str">
        <f aca="false">IF(OR(A148="",D148=""),"",HYPERLINK("https://wa.me/"&amp;SUBSTITUTE(SUBSTITUTE(SUBSTITUTE(SUBSTITUTE(D148,"+","")," ",""),"-",""),"(","")&amp;"?text="&amp;_xlfn.ENCODEURL(H148),"Send on WhatsApp"))</f>
        <v/>
      </c>
      <c r="J148" s="7"/>
      <c r="K148" s="10"/>
      <c r="L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8" t="str">
        <f aca="false">IF(A149="","",$B$4&amp;"/"&amp;IF(F149="","en",F149)&amp;"/demo?farm="&amp;_xlfn.ENCODEURL(A149)&amp;"&amp;utm_source="&amp;IF(E149="","direct",E149)&amp;"&amp;utm_medium=outreach&amp;utm_campaign="&amp;_xlfn.ENCODEURL($B$5)&amp;"&amp;utm_content=row-140")</f>
        <v/>
      </c>
      <c r="H149" s="9" t="str">
        <f aca="false">IF(A149="","",SUBSTITUTE(SUBSTITUTE(SUBSTITUTE(IF(F149="ar",$B$7,$B$6)," {name}",IF(B149="",""," "&amp;B149)),"{farm}",A149),"{link}",G149))</f>
        <v/>
      </c>
      <c r="I149" s="9" t="str">
        <f aca="false">IF(OR(A149="",D149=""),"",HYPERLINK("https://wa.me/"&amp;SUBSTITUTE(SUBSTITUTE(SUBSTITUTE(SUBSTITUTE(D149,"+","")," ",""),"-",""),"(","")&amp;"?text="&amp;_xlfn.ENCODEURL(H149),"Send on WhatsApp"))</f>
        <v/>
      </c>
      <c r="J149" s="7"/>
      <c r="K149" s="10"/>
      <c r="L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8" t="str">
        <f aca="false">IF(A150="","",$B$4&amp;"/"&amp;IF(F150="","en",F150)&amp;"/demo?farm="&amp;_xlfn.ENCODEURL(A150)&amp;"&amp;utm_source="&amp;IF(E150="","direct",E150)&amp;"&amp;utm_medium=outreach&amp;utm_campaign="&amp;_xlfn.ENCODEURL($B$5)&amp;"&amp;utm_content=row-141")</f>
        <v/>
      </c>
      <c r="H150" s="9" t="str">
        <f aca="false">IF(A150="","",SUBSTITUTE(SUBSTITUTE(SUBSTITUTE(IF(F150="ar",$B$7,$B$6)," {name}",IF(B150="",""," "&amp;B150)),"{farm}",A150),"{link}",G150))</f>
        <v/>
      </c>
      <c r="I150" s="9" t="str">
        <f aca="false">IF(OR(A150="",D150=""),"",HYPERLINK("https://wa.me/"&amp;SUBSTITUTE(SUBSTITUTE(SUBSTITUTE(SUBSTITUTE(D150,"+","")," ",""),"-",""),"(","")&amp;"?text="&amp;_xlfn.ENCODEURL(H150),"Send on WhatsApp"))</f>
        <v/>
      </c>
      <c r="J150" s="7"/>
      <c r="K150" s="10"/>
      <c r="L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8" t="str">
        <f aca="false">IF(A151="","",$B$4&amp;"/"&amp;IF(F151="","en",F151)&amp;"/demo?farm="&amp;_xlfn.ENCODEURL(A151)&amp;"&amp;utm_source="&amp;IF(E151="","direct",E151)&amp;"&amp;utm_medium=outreach&amp;utm_campaign="&amp;_xlfn.ENCODEURL($B$5)&amp;"&amp;utm_content=row-142")</f>
        <v/>
      </c>
      <c r="H151" s="9" t="str">
        <f aca="false">IF(A151="","",SUBSTITUTE(SUBSTITUTE(SUBSTITUTE(IF(F151="ar",$B$7,$B$6)," {name}",IF(B151="",""," "&amp;B151)),"{farm}",A151),"{link}",G151))</f>
        <v/>
      </c>
      <c r="I151" s="9" t="str">
        <f aca="false">IF(OR(A151="",D151=""),"",HYPERLINK("https://wa.me/"&amp;SUBSTITUTE(SUBSTITUTE(SUBSTITUTE(SUBSTITUTE(D151,"+","")," ",""),"-",""),"(","")&amp;"?text="&amp;_xlfn.ENCODEURL(H151),"Send on WhatsApp"))</f>
        <v/>
      </c>
      <c r="J151" s="7"/>
      <c r="K151" s="10"/>
      <c r="L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8" t="str">
        <f aca="false">IF(A152="","",$B$4&amp;"/"&amp;IF(F152="","en",F152)&amp;"/demo?farm="&amp;_xlfn.ENCODEURL(A152)&amp;"&amp;utm_source="&amp;IF(E152="","direct",E152)&amp;"&amp;utm_medium=outreach&amp;utm_campaign="&amp;_xlfn.ENCODEURL($B$5)&amp;"&amp;utm_content=row-143")</f>
        <v/>
      </c>
      <c r="H152" s="9" t="str">
        <f aca="false">IF(A152="","",SUBSTITUTE(SUBSTITUTE(SUBSTITUTE(IF(F152="ar",$B$7,$B$6)," {name}",IF(B152="",""," "&amp;B152)),"{farm}",A152),"{link}",G152))</f>
        <v/>
      </c>
      <c r="I152" s="9" t="str">
        <f aca="false">IF(OR(A152="",D152=""),"",HYPERLINK("https://wa.me/"&amp;SUBSTITUTE(SUBSTITUTE(SUBSTITUTE(SUBSTITUTE(D152,"+","")," ",""),"-",""),"(","")&amp;"?text="&amp;_xlfn.ENCODEURL(H152),"Send on WhatsApp"))</f>
        <v/>
      </c>
      <c r="J152" s="7"/>
      <c r="K152" s="10"/>
      <c r="L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8" t="str">
        <f aca="false">IF(A153="","",$B$4&amp;"/"&amp;IF(F153="","en",F153)&amp;"/demo?farm="&amp;_xlfn.ENCODEURL(A153)&amp;"&amp;utm_source="&amp;IF(E153="","direct",E153)&amp;"&amp;utm_medium=outreach&amp;utm_campaign="&amp;_xlfn.ENCODEURL($B$5)&amp;"&amp;utm_content=row-144")</f>
        <v/>
      </c>
      <c r="H153" s="9" t="str">
        <f aca="false">IF(A153="","",SUBSTITUTE(SUBSTITUTE(SUBSTITUTE(IF(F153="ar",$B$7,$B$6)," {name}",IF(B153="",""," "&amp;B153)),"{farm}",A153),"{link}",G153))</f>
        <v/>
      </c>
      <c r="I153" s="9" t="str">
        <f aca="false">IF(OR(A153="",D153=""),"",HYPERLINK("https://wa.me/"&amp;SUBSTITUTE(SUBSTITUTE(SUBSTITUTE(SUBSTITUTE(D153,"+","")," ",""),"-",""),"(","")&amp;"?text="&amp;_xlfn.ENCODEURL(H153),"Send on WhatsApp"))</f>
        <v/>
      </c>
      <c r="J153" s="7"/>
      <c r="K153" s="10"/>
      <c r="L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8" t="str">
        <f aca="false">IF(A154="","",$B$4&amp;"/"&amp;IF(F154="","en",F154)&amp;"/demo?farm="&amp;_xlfn.ENCODEURL(A154)&amp;"&amp;utm_source="&amp;IF(E154="","direct",E154)&amp;"&amp;utm_medium=outreach&amp;utm_campaign="&amp;_xlfn.ENCODEURL($B$5)&amp;"&amp;utm_content=row-145")</f>
        <v/>
      </c>
      <c r="H154" s="9" t="str">
        <f aca="false">IF(A154="","",SUBSTITUTE(SUBSTITUTE(SUBSTITUTE(IF(F154="ar",$B$7,$B$6)," {name}",IF(B154="",""," "&amp;B154)),"{farm}",A154),"{link}",G154))</f>
        <v/>
      </c>
      <c r="I154" s="9" t="str">
        <f aca="false">IF(OR(A154="",D154=""),"",HYPERLINK("https://wa.me/"&amp;SUBSTITUTE(SUBSTITUTE(SUBSTITUTE(SUBSTITUTE(D154,"+","")," ",""),"-",""),"(","")&amp;"?text="&amp;_xlfn.ENCODEURL(H154),"Send on WhatsApp"))</f>
        <v/>
      </c>
      <c r="J154" s="7"/>
      <c r="K154" s="10"/>
      <c r="L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8" t="str">
        <f aca="false">IF(A155="","",$B$4&amp;"/"&amp;IF(F155="","en",F155)&amp;"/demo?farm="&amp;_xlfn.ENCODEURL(A155)&amp;"&amp;utm_source="&amp;IF(E155="","direct",E155)&amp;"&amp;utm_medium=outreach&amp;utm_campaign="&amp;_xlfn.ENCODEURL($B$5)&amp;"&amp;utm_content=row-146")</f>
        <v/>
      </c>
      <c r="H155" s="9" t="str">
        <f aca="false">IF(A155="","",SUBSTITUTE(SUBSTITUTE(SUBSTITUTE(IF(F155="ar",$B$7,$B$6)," {name}",IF(B155="",""," "&amp;B155)),"{farm}",A155),"{link}",G155))</f>
        <v/>
      </c>
      <c r="I155" s="9" t="str">
        <f aca="false">IF(OR(A155="",D155=""),"",HYPERLINK("https://wa.me/"&amp;SUBSTITUTE(SUBSTITUTE(SUBSTITUTE(SUBSTITUTE(D155,"+","")," ",""),"-",""),"(","")&amp;"?text="&amp;_xlfn.ENCODEURL(H155),"Send on WhatsApp"))</f>
        <v/>
      </c>
      <c r="J155" s="7"/>
      <c r="K155" s="10"/>
      <c r="L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8" t="str">
        <f aca="false">IF(A156="","",$B$4&amp;"/"&amp;IF(F156="","en",F156)&amp;"/demo?farm="&amp;_xlfn.ENCODEURL(A156)&amp;"&amp;utm_source="&amp;IF(E156="","direct",E156)&amp;"&amp;utm_medium=outreach&amp;utm_campaign="&amp;_xlfn.ENCODEURL($B$5)&amp;"&amp;utm_content=row-147")</f>
        <v/>
      </c>
      <c r="H156" s="9" t="str">
        <f aca="false">IF(A156="","",SUBSTITUTE(SUBSTITUTE(SUBSTITUTE(IF(F156="ar",$B$7,$B$6)," {name}",IF(B156="",""," "&amp;B156)),"{farm}",A156),"{link}",G156))</f>
        <v/>
      </c>
      <c r="I156" s="9" t="str">
        <f aca="false">IF(OR(A156="",D156=""),"",HYPERLINK("https://wa.me/"&amp;SUBSTITUTE(SUBSTITUTE(SUBSTITUTE(SUBSTITUTE(D156,"+","")," ",""),"-",""),"(","")&amp;"?text="&amp;_xlfn.ENCODEURL(H156),"Send on WhatsApp"))</f>
        <v/>
      </c>
      <c r="J156" s="7"/>
      <c r="K156" s="10"/>
      <c r="L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8" t="str">
        <f aca="false">IF(A157="","",$B$4&amp;"/"&amp;IF(F157="","en",F157)&amp;"/demo?farm="&amp;_xlfn.ENCODEURL(A157)&amp;"&amp;utm_source="&amp;IF(E157="","direct",E157)&amp;"&amp;utm_medium=outreach&amp;utm_campaign="&amp;_xlfn.ENCODEURL($B$5)&amp;"&amp;utm_content=row-148")</f>
        <v/>
      </c>
      <c r="H157" s="9" t="str">
        <f aca="false">IF(A157="","",SUBSTITUTE(SUBSTITUTE(SUBSTITUTE(IF(F157="ar",$B$7,$B$6)," {name}",IF(B157="",""," "&amp;B157)),"{farm}",A157),"{link}",G157))</f>
        <v/>
      </c>
      <c r="I157" s="9" t="str">
        <f aca="false">IF(OR(A157="",D157=""),"",HYPERLINK("https://wa.me/"&amp;SUBSTITUTE(SUBSTITUTE(SUBSTITUTE(SUBSTITUTE(D157,"+","")," ",""),"-",""),"(","")&amp;"?text="&amp;_xlfn.ENCODEURL(H157),"Send on WhatsApp"))</f>
        <v/>
      </c>
      <c r="J157" s="7"/>
      <c r="K157" s="10"/>
      <c r="L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8" t="str">
        <f aca="false">IF(A158="","",$B$4&amp;"/"&amp;IF(F158="","en",F158)&amp;"/demo?farm="&amp;_xlfn.ENCODEURL(A158)&amp;"&amp;utm_source="&amp;IF(E158="","direct",E158)&amp;"&amp;utm_medium=outreach&amp;utm_campaign="&amp;_xlfn.ENCODEURL($B$5)&amp;"&amp;utm_content=row-149")</f>
        <v/>
      </c>
      <c r="H158" s="9" t="str">
        <f aca="false">IF(A158="","",SUBSTITUTE(SUBSTITUTE(SUBSTITUTE(IF(F158="ar",$B$7,$B$6)," {name}",IF(B158="",""," "&amp;B158)),"{farm}",A158),"{link}",G158))</f>
        <v/>
      </c>
      <c r="I158" s="9" t="str">
        <f aca="false">IF(OR(A158="",D158=""),"",HYPERLINK("https://wa.me/"&amp;SUBSTITUTE(SUBSTITUTE(SUBSTITUTE(SUBSTITUTE(D158,"+","")," ",""),"-",""),"(","")&amp;"?text="&amp;_xlfn.ENCODEURL(H158),"Send on WhatsApp"))</f>
        <v/>
      </c>
      <c r="J158" s="7"/>
      <c r="K158" s="10"/>
      <c r="L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8" t="str">
        <f aca="false">IF(A159="","",$B$4&amp;"/"&amp;IF(F159="","en",F159)&amp;"/demo?farm="&amp;_xlfn.ENCODEURL(A159)&amp;"&amp;utm_source="&amp;IF(E159="","direct",E159)&amp;"&amp;utm_medium=outreach&amp;utm_campaign="&amp;_xlfn.ENCODEURL($B$5)&amp;"&amp;utm_content=row-150")</f>
        <v/>
      </c>
      <c r="H159" s="9" t="str">
        <f aca="false">IF(A159="","",SUBSTITUTE(SUBSTITUTE(SUBSTITUTE(IF(F159="ar",$B$7,$B$6)," {name}",IF(B159="",""," "&amp;B159)),"{farm}",A159),"{link}",G159))</f>
        <v/>
      </c>
      <c r="I159" s="9" t="str">
        <f aca="false">IF(OR(A159="",D159=""),"",HYPERLINK("https://wa.me/"&amp;SUBSTITUTE(SUBSTITUTE(SUBSTITUTE(SUBSTITUTE(D159,"+","")," ",""),"-",""),"(","")&amp;"?text="&amp;_xlfn.ENCODEURL(H159),"Send on WhatsApp"))</f>
        <v/>
      </c>
      <c r="J159" s="7"/>
      <c r="K159" s="10"/>
      <c r="L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8" t="str">
        <f aca="false">IF(A160="","",$B$4&amp;"/"&amp;IF(F160="","en",F160)&amp;"/demo?farm="&amp;_xlfn.ENCODEURL(A160)&amp;"&amp;utm_source="&amp;IF(E160="","direct",E160)&amp;"&amp;utm_medium=outreach&amp;utm_campaign="&amp;_xlfn.ENCODEURL($B$5)&amp;"&amp;utm_content=row-151")</f>
        <v/>
      </c>
      <c r="H160" s="9" t="str">
        <f aca="false">IF(A160="","",SUBSTITUTE(SUBSTITUTE(SUBSTITUTE(IF(F160="ar",$B$7,$B$6)," {name}",IF(B160="",""," "&amp;B160)),"{farm}",A160),"{link}",G160))</f>
        <v/>
      </c>
      <c r="I160" s="9" t="str">
        <f aca="false">IF(OR(A160="",D160=""),"",HYPERLINK("https://wa.me/"&amp;SUBSTITUTE(SUBSTITUTE(SUBSTITUTE(SUBSTITUTE(D160,"+","")," ",""),"-",""),"(","")&amp;"?text="&amp;_xlfn.ENCODEURL(H160),"Send on WhatsApp"))</f>
        <v/>
      </c>
      <c r="J160" s="7"/>
      <c r="K160" s="10"/>
      <c r="L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8" t="str">
        <f aca="false">IF(A161="","",$B$4&amp;"/"&amp;IF(F161="","en",F161)&amp;"/demo?farm="&amp;_xlfn.ENCODEURL(A161)&amp;"&amp;utm_source="&amp;IF(E161="","direct",E161)&amp;"&amp;utm_medium=outreach&amp;utm_campaign="&amp;_xlfn.ENCODEURL($B$5)&amp;"&amp;utm_content=row-152")</f>
        <v/>
      </c>
      <c r="H161" s="9" t="str">
        <f aca="false">IF(A161="","",SUBSTITUTE(SUBSTITUTE(SUBSTITUTE(IF(F161="ar",$B$7,$B$6)," {name}",IF(B161="",""," "&amp;B161)),"{farm}",A161),"{link}",G161))</f>
        <v/>
      </c>
      <c r="I161" s="9" t="str">
        <f aca="false">IF(OR(A161="",D161=""),"",HYPERLINK("https://wa.me/"&amp;SUBSTITUTE(SUBSTITUTE(SUBSTITUTE(SUBSTITUTE(D161,"+","")," ",""),"-",""),"(","")&amp;"?text="&amp;_xlfn.ENCODEURL(H161),"Send on WhatsApp"))</f>
        <v/>
      </c>
      <c r="J161" s="7"/>
      <c r="K161" s="10"/>
      <c r="L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8" t="str">
        <f aca="false">IF(A162="","",$B$4&amp;"/"&amp;IF(F162="","en",F162)&amp;"/demo?farm="&amp;_xlfn.ENCODEURL(A162)&amp;"&amp;utm_source="&amp;IF(E162="","direct",E162)&amp;"&amp;utm_medium=outreach&amp;utm_campaign="&amp;_xlfn.ENCODEURL($B$5)&amp;"&amp;utm_content=row-153")</f>
        <v/>
      </c>
      <c r="H162" s="9" t="str">
        <f aca="false">IF(A162="","",SUBSTITUTE(SUBSTITUTE(SUBSTITUTE(IF(F162="ar",$B$7,$B$6)," {name}",IF(B162="",""," "&amp;B162)),"{farm}",A162),"{link}",G162))</f>
        <v/>
      </c>
      <c r="I162" s="9" t="str">
        <f aca="false">IF(OR(A162="",D162=""),"",HYPERLINK("https://wa.me/"&amp;SUBSTITUTE(SUBSTITUTE(SUBSTITUTE(SUBSTITUTE(D162,"+","")," ",""),"-",""),"(","")&amp;"?text="&amp;_xlfn.ENCODEURL(H162),"Send on WhatsApp"))</f>
        <v/>
      </c>
      <c r="J162" s="7"/>
      <c r="K162" s="10"/>
      <c r="L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8" t="str">
        <f aca="false">IF(A163="","",$B$4&amp;"/"&amp;IF(F163="","en",F163)&amp;"/demo?farm="&amp;_xlfn.ENCODEURL(A163)&amp;"&amp;utm_source="&amp;IF(E163="","direct",E163)&amp;"&amp;utm_medium=outreach&amp;utm_campaign="&amp;_xlfn.ENCODEURL($B$5)&amp;"&amp;utm_content=row-154")</f>
        <v/>
      </c>
      <c r="H163" s="9" t="str">
        <f aca="false">IF(A163="","",SUBSTITUTE(SUBSTITUTE(SUBSTITUTE(IF(F163="ar",$B$7,$B$6)," {name}",IF(B163="",""," "&amp;B163)),"{farm}",A163),"{link}",G163))</f>
        <v/>
      </c>
      <c r="I163" s="9" t="str">
        <f aca="false">IF(OR(A163="",D163=""),"",HYPERLINK("https://wa.me/"&amp;SUBSTITUTE(SUBSTITUTE(SUBSTITUTE(SUBSTITUTE(D163,"+","")," ",""),"-",""),"(","")&amp;"?text="&amp;_xlfn.ENCODEURL(H163),"Send on WhatsApp"))</f>
        <v/>
      </c>
      <c r="J163" s="7"/>
      <c r="K163" s="10"/>
      <c r="L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8" t="str">
        <f aca="false">IF(A164="","",$B$4&amp;"/"&amp;IF(F164="","en",F164)&amp;"/demo?farm="&amp;_xlfn.ENCODEURL(A164)&amp;"&amp;utm_source="&amp;IF(E164="","direct",E164)&amp;"&amp;utm_medium=outreach&amp;utm_campaign="&amp;_xlfn.ENCODEURL($B$5)&amp;"&amp;utm_content=row-155")</f>
        <v/>
      </c>
      <c r="H164" s="9" t="str">
        <f aca="false">IF(A164="","",SUBSTITUTE(SUBSTITUTE(SUBSTITUTE(IF(F164="ar",$B$7,$B$6)," {name}",IF(B164="",""," "&amp;B164)),"{farm}",A164),"{link}",G164))</f>
        <v/>
      </c>
      <c r="I164" s="9" t="str">
        <f aca="false">IF(OR(A164="",D164=""),"",HYPERLINK("https://wa.me/"&amp;SUBSTITUTE(SUBSTITUTE(SUBSTITUTE(SUBSTITUTE(D164,"+","")," ",""),"-",""),"(","")&amp;"?text="&amp;_xlfn.ENCODEURL(H164),"Send on WhatsApp"))</f>
        <v/>
      </c>
      <c r="J164" s="7"/>
      <c r="K164" s="10"/>
      <c r="L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8" t="str">
        <f aca="false">IF(A165="","",$B$4&amp;"/"&amp;IF(F165="","en",F165)&amp;"/demo?farm="&amp;_xlfn.ENCODEURL(A165)&amp;"&amp;utm_source="&amp;IF(E165="","direct",E165)&amp;"&amp;utm_medium=outreach&amp;utm_campaign="&amp;_xlfn.ENCODEURL($B$5)&amp;"&amp;utm_content=row-156")</f>
        <v/>
      </c>
      <c r="H165" s="9" t="str">
        <f aca="false">IF(A165="","",SUBSTITUTE(SUBSTITUTE(SUBSTITUTE(IF(F165="ar",$B$7,$B$6)," {name}",IF(B165="",""," "&amp;B165)),"{farm}",A165),"{link}",G165))</f>
        <v/>
      </c>
      <c r="I165" s="9" t="str">
        <f aca="false">IF(OR(A165="",D165=""),"",HYPERLINK("https://wa.me/"&amp;SUBSTITUTE(SUBSTITUTE(SUBSTITUTE(SUBSTITUTE(D165,"+","")," ",""),"-",""),"(","")&amp;"?text="&amp;_xlfn.ENCODEURL(H165),"Send on WhatsApp"))</f>
        <v/>
      </c>
      <c r="J165" s="7"/>
      <c r="K165" s="10"/>
      <c r="L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8" t="str">
        <f aca="false">IF(A166="","",$B$4&amp;"/"&amp;IF(F166="","en",F166)&amp;"/demo?farm="&amp;_xlfn.ENCODEURL(A166)&amp;"&amp;utm_source="&amp;IF(E166="","direct",E166)&amp;"&amp;utm_medium=outreach&amp;utm_campaign="&amp;_xlfn.ENCODEURL($B$5)&amp;"&amp;utm_content=row-157")</f>
        <v/>
      </c>
      <c r="H166" s="9" t="str">
        <f aca="false">IF(A166="","",SUBSTITUTE(SUBSTITUTE(SUBSTITUTE(IF(F166="ar",$B$7,$B$6)," {name}",IF(B166="",""," "&amp;B166)),"{farm}",A166),"{link}",G166))</f>
        <v/>
      </c>
      <c r="I166" s="9" t="str">
        <f aca="false">IF(OR(A166="",D166=""),"",HYPERLINK("https://wa.me/"&amp;SUBSTITUTE(SUBSTITUTE(SUBSTITUTE(SUBSTITUTE(D166,"+","")," ",""),"-",""),"(","")&amp;"?text="&amp;_xlfn.ENCODEURL(H166),"Send on WhatsApp"))</f>
        <v/>
      </c>
      <c r="J166" s="7"/>
      <c r="K166" s="10"/>
      <c r="L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8" t="str">
        <f aca="false">IF(A167="","",$B$4&amp;"/"&amp;IF(F167="","en",F167)&amp;"/demo?farm="&amp;_xlfn.ENCODEURL(A167)&amp;"&amp;utm_source="&amp;IF(E167="","direct",E167)&amp;"&amp;utm_medium=outreach&amp;utm_campaign="&amp;_xlfn.ENCODEURL($B$5)&amp;"&amp;utm_content=row-158")</f>
        <v/>
      </c>
      <c r="H167" s="9" t="str">
        <f aca="false">IF(A167="","",SUBSTITUTE(SUBSTITUTE(SUBSTITUTE(IF(F167="ar",$B$7,$B$6)," {name}",IF(B167="",""," "&amp;B167)),"{farm}",A167),"{link}",G167))</f>
        <v/>
      </c>
      <c r="I167" s="9" t="str">
        <f aca="false">IF(OR(A167="",D167=""),"",HYPERLINK("https://wa.me/"&amp;SUBSTITUTE(SUBSTITUTE(SUBSTITUTE(SUBSTITUTE(D167,"+","")," ",""),"-",""),"(","")&amp;"?text="&amp;_xlfn.ENCODEURL(H167),"Send on WhatsApp"))</f>
        <v/>
      </c>
      <c r="J167" s="7"/>
      <c r="K167" s="10"/>
      <c r="L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8" t="str">
        <f aca="false">IF(A168="","",$B$4&amp;"/"&amp;IF(F168="","en",F168)&amp;"/demo?farm="&amp;_xlfn.ENCODEURL(A168)&amp;"&amp;utm_source="&amp;IF(E168="","direct",E168)&amp;"&amp;utm_medium=outreach&amp;utm_campaign="&amp;_xlfn.ENCODEURL($B$5)&amp;"&amp;utm_content=row-159")</f>
        <v/>
      </c>
      <c r="H168" s="9" t="str">
        <f aca="false">IF(A168="","",SUBSTITUTE(SUBSTITUTE(SUBSTITUTE(IF(F168="ar",$B$7,$B$6)," {name}",IF(B168="",""," "&amp;B168)),"{farm}",A168),"{link}",G168))</f>
        <v/>
      </c>
      <c r="I168" s="9" t="str">
        <f aca="false">IF(OR(A168="",D168=""),"",HYPERLINK("https://wa.me/"&amp;SUBSTITUTE(SUBSTITUTE(SUBSTITUTE(SUBSTITUTE(D168,"+","")," ",""),"-",""),"(","")&amp;"?text="&amp;_xlfn.ENCODEURL(H168),"Send on WhatsApp"))</f>
        <v/>
      </c>
      <c r="J168" s="7"/>
      <c r="K168" s="10"/>
      <c r="L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8" t="str">
        <f aca="false">IF(A169="","",$B$4&amp;"/"&amp;IF(F169="","en",F169)&amp;"/demo?farm="&amp;_xlfn.ENCODEURL(A169)&amp;"&amp;utm_source="&amp;IF(E169="","direct",E169)&amp;"&amp;utm_medium=outreach&amp;utm_campaign="&amp;_xlfn.ENCODEURL($B$5)&amp;"&amp;utm_content=row-160")</f>
        <v/>
      </c>
      <c r="H169" s="9" t="str">
        <f aca="false">IF(A169="","",SUBSTITUTE(SUBSTITUTE(SUBSTITUTE(IF(F169="ar",$B$7,$B$6)," {name}",IF(B169="",""," "&amp;B169)),"{farm}",A169),"{link}",G169))</f>
        <v/>
      </c>
      <c r="I169" s="9" t="str">
        <f aca="false">IF(OR(A169="",D169=""),"",HYPERLINK("https://wa.me/"&amp;SUBSTITUTE(SUBSTITUTE(SUBSTITUTE(SUBSTITUTE(D169,"+","")," ",""),"-",""),"(","")&amp;"?text="&amp;_xlfn.ENCODEURL(H169),"Send on WhatsApp"))</f>
        <v/>
      </c>
      <c r="J169" s="7"/>
      <c r="K169" s="10"/>
      <c r="L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8" t="str">
        <f aca="false">IF(A170="","",$B$4&amp;"/"&amp;IF(F170="","en",F170)&amp;"/demo?farm="&amp;_xlfn.ENCODEURL(A170)&amp;"&amp;utm_source="&amp;IF(E170="","direct",E170)&amp;"&amp;utm_medium=outreach&amp;utm_campaign="&amp;_xlfn.ENCODEURL($B$5)&amp;"&amp;utm_content=row-161")</f>
        <v/>
      </c>
      <c r="H170" s="9" t="str">
        <f aca="false">IF(A170="","",SUBSTITUTE(SUBSTITUTE(SUBSTITUTE(IF(F170="ar",$B$7,$B$6)," {name}",IF(B170="",""," "&amp;B170)),"{farm}",A170),"{link}",G170))</f>
        <v/>
      </c>
      <c r="I170" s="9" t="str">
        <f aca="false">IF(OR(A170="",D170=""),"",HYPERLINK("https://wa.me/"&amp;SUBSTITUTE(SUBSTITUTE(SUBSTITUTE(SUBSTITUTE(D170,"+","")," ",""),"-",""),"(","")&amp;"?text="&amp;_xlfn.ENCODEURL(H170),"Send on WhatsApp"))</f>
        <v/>
      </c>
      <c r="J170" s="7"/>
      <c r="K170" s="10"/>
      <c r="L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8" t="str">
        <f aca="false">IF(A171="","",$B$4&amp;"/"&amp;IF(F171="","en",F171)&amp;"/demo?farm="&amp;_xlfn.ENCODEURL(A171)&amp;"&amp;utm_source="&amp;IF(E171="","direct",E171)&amp;"&amp;utm_medium=outreach&amp;utm_campaign="&amp;_xlfn.ENCODEURL($B$5)&amp;"&amp;utm_content=row-162")</f>
        <v/>
      </c>
      <c r="H171" s="9" t="str">
        <f aca="false">IF(A171="","",SUBSTITUTE(SUBSTITUTE(SUBSTITUTE(IF(F171="ar",$B$7,$B$6)," {name}",IF(B171="",""," "&amp;B171)),"{farm}",A171),"{link}",G171))</f>
        <v/>
      </c>
      <c r="I171" s="9" t="str">
        <f aca="false">IF(OR(A171="",D171=""),"",HYPERLINK("https://wa.me/"&amp;SUBSTITUTE(SUBSTITUTE(SUBSTITUTE(SUBSTITUTE(D171,"+","")," ",""),"-",""),"(","")&amp;"?text="&amp;_xlfn.ENCODEURL(H171),"Send on WhatsApp"))</f>
        <v/>
      </c>
      <c r="J171" s="7"/>
      <c r="K171" s="10"/>
      <c r="L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8" t="str">
        <f aca="false">IF(A172="","",$B$4&amp;"/"&amp;IF(F172="","en",F172)&amp;"/demo?farm="&amp;_xlfn.ENCODEURL(A172)&amp;"&amp;utm_source="&amp;IF(E172="","direct",E172)&amp;"&amp;utm_medium=outreach&amp;utm_campaign="&amp;_xlfn.ENCODEURL($B$5)&amp;"&amp;utm_content=row-163")</f>
        <v/>
      </c>
      <c r="H172" s="9" t="str">
        <f aca="false">IF(A172="","",SUBSTITUTE(SUBSTITUTE(SUBSTITUTE(IF(F172="ar",$B$7,$B$6)," {name}",IF(B172="",""," "&amp;B172)),"{farm}",A172),"{link}",G172))</f>
        <v/>
      </c>
      <c r="I172" s="9" t="str">
        <f aca="false">IF(OR(A172="",D172=""),"",HYPERLINK("https://wa.me/"&amp;SUBSTITUTE(SUBSTITUTE(SUBSTITUTE(SUBSTITUTE(D172,"+","")," ",""),"-",""),"(","")&amp;"?text="&amp;_xlfn.ENCODEURL(H172),"Send on WhatsApp"))</f>
        <v/>
      </c>
      <c r="J172" s="7"/>
      <c r="K172" s="10"/>
      <c r="L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8" t="str">
        <f aca="false">IF(A173="","",$B$4&amp;"/"&amp;IF(F173="","en",F173)&amp;"/demo?farm="&amp;_xlfn.ENCODEURL(A173)&amp;"&amp;utm_source="&amp;IF(E173="","direct",E173)&amp;"&amp;utm_medium=outreach&amp;utm_campaign="&amp;_xlfn.ENCODEURL($B$5)&amp;"&amp;utm_content=row-164")</f>
        <v/>
      </c>
      <c r="H173" s="9" t="str">
        <f aca="false">IF(A173="","",SUBSTITUTE(SUBSTITUTE(SUBSTITUTE(IF(F173="ar",$B$7,$B$6)," {name}",IF(B173="",""," "&amp;B173)),"{farm}",A173),"{link}",G173))</f>
        <v/>
      </c>
      <c r="I173" s="9" t="str">
        <f aca="false">IF(OR(A173="",D173=""),"",HYPERLINK("https://wa.me/"&amp;SUBSTITUTE(SUBSTITUTE(SUBSTITUTE(SUBSTITUTE(D173,"+","")," ",""),"-",""),"(","")&amp;"?text="&amp;_xlfn.ENCODEURL(H173),"Send on WhatsApp"))</f>
        <v/>
      </c>
      <c r="J173" s="7"/>
      <c r="K173" s="10"/>
      <c r="L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8" t="str">
        <f aca="false">IF(A174="","",$B$4&amp;"/"&amp;IF(F174="","en",F174)&amp;"/demo?farm="&amp;_xlfn.ENCODEURL(A174)&amp;"&amp;utm_source="&amp;IF(E174="","direct",E174)&amp;"&amp;utm_medium=outreach&amp;utm_campaign="&amp;_xlfn.ENCODEURL($B$5)&amp;"&amp;utm_content=row-165")</f>
        <v/>
      </c>
      <c r="H174" s="9" t="str">
        <f aca="false">IF(A174="","",SUBSTITUTE(SUBSTITUTE(SUBSTITUTE(IF(F174="ar",$B$7,$B$6)," {name}",IF(B174="",""," "&amp;B174)),"{farm}",A174),"{link}",G174))</f>
        <v/>
      </c>
      <c r="I174" s="9" t="str">
        <f aca="false">IF(OR(A174="",D174=""),"",HYPERLINK("https://wa.me/"&amp;SUBSTITUTE(SUBSTITUTE(SUBSTITUTE(SUBSTITUTE(D174,"+","")," ",""),"-",""),"(","")&amp;"?text="&amp;_xlfn.ENCODEURL(H174),"Send on WhatsApp"))</f>
        <v/>
      </c>
      <c r="J174" s="7"/>
      <c r="K174" s="10"/>
      <c r="L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8" t="str">
        <f aca="false">IF(A175="","",$B$4&amp;"/"&amp;IF(F175="","en",F175)&amp;"/demo?farm="&amp;_xlfn.ENCODEURL(A175)&amp;"&amp;utm_source="&amp;IF(E175="","direct",E175)&amp;"&amp;utm_medium=outreach&amp;utm_campaign="&amp;_xlfn.ENCODEURL($B$5)&amp;"&amp;utm_content=row-166")</f>
        <v/>
      </c>
      <c r="H175" s="9" t="str">
        <f aca="false">IF(A175="","",SUBSTITUTE(SUBSTITUTE(SUBSTITUTE(IF(F175="ar",$B$7,$B$6)," {name}",IF(B175="",""," "&amp;B175)),"{farm}",A175),"{link}",G175))</f>
        <v/>
      </c>
      <c r="I175" s="9" t="str">
        <f aca="false">IF(OR(A175="",D175=""),"",HYPERLINK("https://wa.me/"&amp;SUBSTITUTE(SUBSTITUTE(SUBSTITUTE(SUBSTITUTE(D175,"+","")," ",""),"-",""),"(","")&amp;"?text="&amp;_xlfn.ENCODEURL(H175),"Send on WhatsApp"))</f>
        <v/>
      </c>
      <c r="J175" s="7"/>
      <c r="K175" s="10"/>
      <c r="L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8" t="str">
        <f aca="false">IF(A176="","",$B$4&amp;"/"&amp;IF(F176="","en",F176)&amp;"/demo?farm="&amp;_xlfn.ENCODEURL(A176)&amp;"&amp;utm_source="&amp;IF(E176="","direct",E176)&amp;"&amp;utm_medium=outreach&amp;utm_campaign="&amp;_xlfn.ENCODEURL($B$5)&amp;"&amp;utm_content=row-167")</f>
        <v/>
      </c>
      <c r="H176" s="9" t="str">
        <f aca="false">IF(A176="","",SUBSTITUTE(SUBSTITUTE(SUBSTITUTE(IF(F176="ar",$B$7,$B$6)," {name}",IF(B176="",""," "&amp;B176)),"{farm}",A176),"{link}",G176))</f>
        <v/>
      </c>
      <c r="I176" s="9" t="str">
        <f aca="false">IF(OR(A176="",D176=""),"",HYPERLINK("https://wa.me/"&amp;SUBSTITUTE(SUBSTITUTE(SUBSTITUTE(SUBSTITUTE(D176,"+","")," ",""),"-",""),"(","")&amp;"?text="&amp;_xlfn.ENCODEURL(H176),"Send on WhatsApp"))</f>
        <v/>
      </c>
      <c r="J176" s="7"/>
      <c r="K176" s="10"/>
      <c r="L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8" t="str">
        <f aca="false">IF(A177="","",$B$4&amp;"/"&amp;IF(F177="","en",F177)&amp;"/demo?farm="&amp;_xlfn.ENCODEURL(A177)&amp;"&amp;utm_source="&amp;IF(E177="","direct",E177)&amp;"&amp;utm_medium=outreach&amp;utm_campaign="&amp;_xlfn.ENCODEURL($B$5)&amp;"&amp;utm_content=row-168")</f>
        <v/>
      </c>
      <c r="H177" s="9" t="str">
        <f aca="false">IF(A177="","",SUBSTITUTE(SUBSTITUTE(SUBSTITUTE(IF(F177="ar",$B$7,$B$6)," {name}",IF(B177="",""," "&amp;B177)),"{farm}",A177),"{link}",G177))</f>
        <v/>
      </c>
      <c r="I177" s="9" t="str">
        <f aca="false">IF(OR(A177="",D177=""),"",HYPERLINK("https://wa.me/"&amp;SUBSTITUTE(SUBSTITUTE(SUBSTITUTE(SUBSTITUTE(D177,"+","")," ",""),"-",""),"(","")&amp;"?text="&amp;_xlfn.ENCODEURL(H177),"Send on WhatsApp"))</f>
        <v/>
      </c>
      <c r="J177" s="7"/>
      <c r="K177" s="10"/>
      <c r="L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8" t="str">
        <f aca="false">IF(A178="","",$B$4&amp;"/"&amp;IF(F178="","en",F178)&amp;"/demo?farm="&amp;_xlfn.ENCODEURL(A178)&amp;"&amp;utm_source="&amp;IF(E178="","direct",E178)&amp;"&amp;utm_medium=outreach&amp;utm_campaign="&amp;_xlfn.ENCODEURL($B$5)&amp;"&amp;utm_content=row-169")</f>
        <v/>
      </c>
      <c r="H178" s="9" t="str">
        <f aca="false">IF(A178="","",SUBSTITUTE(SUBSTITUTE(SUBSTITUTE(IF(F178="ar",$B$7,$B$6)," {name}",IF(B178="",""," "&amp;B178)),"{farm}",A178),"{link}",G178))</f>
        <v/>
      </c>
      <c r="I178" s="9" t="str">
        <f aca="false">IF(OR(A178="",D178=""),"",HYPERLINK("https://wa.me/"&amp;SUBSTITUTE(SUBSTITUTE(SUBSTITUTE(SUBSTITUTE(D178,"+","")," ",""),"-",""),"(","")&amp;"?text="&amp;_xlfn.ENCODEURL(H178),"Send on WhatsApp"))</f>
        <v/>
      </c>
      <c r="J178" s="7"/>
      <c r="K178" s="10"/>
      <c r="L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8" t="str">
        <f aca="false">IF(A179="","",$B$4&amp;"/"&amp;IF(F179="","en",F179)&amp;"/demo?farm="&amp;_xlfn.ENCODEURL(A179)&amp;"&amp;utm_source="&amp;IF(E179="","direct",E179)&amp;"&amp;utm_medium=outreach&amp;utm_campaign="&amp;_xlfn.ENCODEURL($B$5)&amp;"&amp;utm_content=row-170")</f>
        <v/>
      </c>
      <c r="H179" s="9" t="str">
        <f aca="false">IF(A179="","",SUBSTITUTE(SUBSTITUTE(SUBSTITUTE(IF(F179="ar",$B$7,$B$6)," {name}",IF(B179="",""," "&amp;B179)),"{farm}",A179),"{link}",G179))</f>
        <v/>
      </c>
      <c r="I179" s="9" t="str">
        <f aca="false">IF(OR(A179="",D179=""),"",HYPERLINK("https://wa.me/"&amp;SUBSTITUTE(SUBSTITUTE(SUBSTITUTE(SUBSTITUTE(D179,"+","")," ",""),"-",""),"(","")&amp;"?text="&amp;_xlfn.ENCODEURL(H179),"Send on WhatsApp"))</f>
        <v/>
      </c>
      <c r="J179" s="7"/>
      <c r="K179" s="10"/>
      <c r="L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8" t="str">
        <f aca="false">IF(A180="","",$B$4&amp;"/"&amp;IF(F180="","en",F180)&amp;"/demo?farm="&amp;_xlfn.ENCODEURL(A180)&amp;"&amp;utm_source="&amp;IF(E180="","direct",E180)&amp;"&amp;utm_medium=outreach&amp;utm_campaign="&amp;_xlfn.ENCODEURL($B$5)&amp;"&amp;utm_content=row-171")</f>
        <v/>
      </c>
      <c r="H180" s="9" t="str">
        <f aca="false">IF(A180="","",SUBSTITUTE(SUBSTITUTE(SUBSTITUTE(IF(F180="ar",$B$7,$B$6)," {name}",IF(B180="",""," "&amp;B180)),"{farm}",A180),"{link}",G180))</f>
        <v/>
      </c>
      <c r="I180" s="9" t="str">
        <f aca="false">IF(OR(A180="",D180=""),"",HYPERLINK("https://wa.me/"&amp;SUBSTITUTE(SUBSTITUTE(SUBSTITUTE(SUBSTITUTE(D180,"+","")," ",""),"-",""),"(","")&amp;"?text="&amp;_xlfn.ENCODEURL(H180),"Send on WhatsApp"))</f>
        <v/>
      </c>
      <c r="J180" s="7"/>
      <c r="K180" s="10"/>
      <c r="L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8" t="str">
        <f aca="false">IF(A181="","",$B$4&amp;"/"&amp;IF(F181="","en",F181)&amp;"/demo?farm="&amp;_xlfn.ENCODEURL(A181)&amp;"&amp;utm_source="&amp;IF(E181="","direct",E181)&amp;"&amp;utm_medium=outreach&amp;utm_campaign="&amp;_xlfn.ENCODEURL($B$5)&amp;"&amp;utm_content=row-172")</f>
        <v/>
      </c>
      <c r="H181" s="9" t="str">
        <f aca="false">IF(A181="","",SUBSTITUTE(SUBSTITUTE(SUBSTITUTE(IF(F181="ar",$B$7,$B$6)," {name}",IF(B181="",""," "&amp;B181)),"{farm}",A181),"{link}",G181))</f>
        <v/>
      </c>
      <c r="I181" s="9" t="str">
        <f aca="false">IF(OR(A181="",D181=""),"",HYPERLINK("https://wa.me/"&amp;SUBSTITUTE(SUBSTITUTE(SUBSTITUTE(SUBSTITUTE(D181,"+","")," ",""),"-",""),"(","")&amp;"?text="&amp;_xlfn.ENCODEURL(H181),"Send on WhatsApp"))</f>
        <v/>
      </c>
      <c r="J181" s="7"/>
      <c r="K181" s="10"/>
      <c r="L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8" t="str">
        <f aca="false">IF(A182="","",$B$4&amp;"/"&amp;IF(F182="","en",F182)&amp;"/demo?farm="&amp;_xlfn.ENCODEURL(A182)&amp;"&amp;utm_source="&amp;IF(E182="","direct",E182)&amp;"&amp;utm_medium=outreach&amp;utm_campaign="&amp;_xlfn.ENCODEURL($B$5)&amp;"&amp;utm_content=row-173")</f>
        <v/>
      </c>
      <c r="H182" s="9" t="str">
        <f aca="false">IF(A182="","",SUBSTITUTE(SUBSTITUTE(SUBSTITUTE(IF(F182="ar",$B$7,$B$6)," {name}",IF(B182="",""," "&amp;B182)),"{farm}",A182),"{link}",G182))</f>
        <v/>
      </c>
      <c r="I182" s="9" t="str">
        <f aca="false">IF(OR(A182="",D182=""),"",HYPERLINK("https://wa.me/"&amp;SUBSTITUTE(SUBSTITUTE(SUBSTITUTE(SUBSTITUTE(D182,"+","")," ",""),"-",""),"(","")&amp;"?text="&amp;_xlfn.ENCODEURL(H182),"Send on WhatsApp"))</f>
        <v/>
      </c>
      <c r="J182" s="7"/>
      <c r="K182" s="10"/>
      <c r="L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8" t="str">
        <f aca="false">IF(A183="","",$B$4&amp;"/"&amp;IF(F183="","en",F183)&amp;"/demo?farm="&amp;_xlfn.ENCODEURL(A183)&amp;"&amp;utm_source="&amp;IF(E183="","direct",E183)&amp;"&amp;utm_medium=outreach&amp;utm_campaign="&amp;_xlfn.ENCODEURL($B$5)&amp;"&amp;utm_content=row-174")</f>
        <v/>
      </c>
      <c r="H183" s="9" t="str">
        <f aca="false">IF(A183="","",SUBSTITUTE(SUBSTITUTE(SUBSTITUTE(IF(F183="ar",$B$7,$B$6)," {name}",IF(B183="",""," "&amp;B183)),"{farm}",A183),"{link}",G183))</f>
        <v/>
      </c>
      <c r="I183" s="9" t="str">
        <f aca="false">IF(OR(A183="",D183=""),"",HYPERLINK("https://wa.me/"&amp;SUBSTITUTE(SUBSTITUTE(SUBSTITUTE(SUBSTITUTE(D183,"+","")," ",""),"-",""),"(","")&amp;"?text="&amp;_xlfn.ENCODEURL(H183),"Send on WhatsApp"))</f>
        <v/>
      </c>
      <c r="J183" s="7"/>
      <c r="K183" s="10"/>
      <c r="L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8" t="str">
        <f aca="false">IF(A184="","",$B$4&amp;"/"&amp;IF(F184="","en",F184)&amp;"/demo?farm="&amp;_xlfn.ENCODEURL(A184)&amp;"&amp;utm_source="&amp;IF(E184="","direct",E184)&amp;"&amp;utm_medium=outreach&amp;utm_campaign="&amp;_xlfn.ENCODEURL($B$5)&amp;"&amp;utm_content=row-175")</f>
        <v/>
      </c>
      <c r="H184" s="9" t="str">
        <f aca="false">IF(A184="","",SUBSTITUTE(SUBSTITUTE(SUBSTITUTE(IF(F184="ar",$B$7,$B$6)," {name}",IF(B184="",""," "&amp;B184)),"{farm}",A184),"{link}",G184))</f>
        <v/>
      </c>
      <c r="I184" s="9" t="str">
        <f aca="false">IF(OR(A184="",D184=""),"",HYPERLINK("https://wa.me/"&amp;SUBSTITUTE(SUBSTITUTE(SUBSTITUTE(SUBSTITUTE(D184,"+","")," ",""),"-",""),"(","")&amp;"?text="&amp;_xlfn.ENCODEURL(H184),"Send on WhatsApp"))</f>
        <v/>
      </c>
      <c r="J184" s="7"/>
      <c r="K184" s="10"/>
      <c r="L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8" t="str">
        <f aca="false">IF(A185="","",$B$4&amp;"/"&amp;IF(F185="","en",F185)&amp;"/demo?farm="&amp;_xlfn.ENCODEURL(A185)&amp;"&amp;utm_source="&amp;IF(E185="","direct",E185)&amp;"&amp;utm_medium=outreach&amp;utm_campaign="&amp;_xlfn.ENCODEURL($B$5)&amp;"&amp;utm_content=row-176")</f>
        <v/>
      </c>
      <c r="H185" s="9" t="str">
        <f aca="false">IF(A185="","",SUBSTITUTE(SUBSTITUTE(SUBSTITUTE(IF(F185="ar",$B$7,$B$6)," {name}",IF(B185="",""," "&amp;B185)),"{farm}",A185),"{link}",G185))</f>
        <v/>
      </c>
      <c r="I185" s="9" t="str">
        <f aca="false">IF(OR(A185="",D185=""),"",HYPERLINK("https://wa.me/"&amp;SUBSTITUTE(SUBSTITUTE(SUBSTITUTE(SUBSTITUTE(D185,"+","")," ",""),"-",""),"(","")&amp;"?text="&amp;_xlfn.ENCODEURL(H185),"Send on WhatsApp"))</f>
        <v/>
      </c>
      <c r="J185" s="7"/>
      <c r="K185" s="10"/>
      <c r="L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8" t="str">
        <f aca="false">IF(A186="","",$B$4&amp;"/"&amp;IF(F186="","en",F186)&amp;"/demo?farm="&amp;_xlfn.ENCODEURL(A186)&amp;"&amp;utm_source="&amp;IF(E186="","direct",E186)&amp;"&amp;utm_medium=outreach&amp;utm_campaign="&amp;_xlfn.ENCODEURL($B$5)&amp;"&amp;utm_content=row-177")</f>
        <v/>
      </c>
      <c r="H186" s="9" t="str">
        <f aca="false">IF(A186="","",SUBSTITUTE(SUBSTITUTE(SUBSTITUTE(IF(F186="ar",$B$7,$B$6)," {name}",IF(B186="",""," "&amp;B186)),"{farm}",A186),"{link}",G186))</f>
        <v/>
      </c>
      <c r="I186" s="9" t="str">
        <f aca="false">IF(OR(A186="",D186=""),"",HYPERLINK("https://wa.me/"&amp;SUBSTITUTE(SUBSTITUTE(SUBSTITUTE(SUBSTITUTE(D186,"+","")," ",""),"-",""),"(","")&amp;"?text="&amp;_xlfn.ENCODEURL(H186),"Send on WhatsApp"))</f>
        <v/>
      </c>
      <c r="J186" s="7"/>
      <c r="K186" s="10"/>
      <c r="L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8" t="str">
        <f aca="false">IF(A187="","",$B$4&amp;"/"&amp;IF(F187="","en",F187)&amp;"/demo?farm="&amp;_xlfn.ENCODEURL(A187)&amp;"&amp;utm_source="&amp;IF(E187="","direct",E187)&amp;"&amp;utm_medium=outreach&amp;utm_campaign="&amp;_xlfn.ENCODEURL($B$5)&amp;"&amp;utm_content=row-178")</f>
        <v/>
      </c>
      <c r="H187" s="9" t="str">
        <f aca="false">IF(A187="","",SUBSTITUTE(SUBSTITUTE(SUBSTITUTE(IF(F187="ar",$B$7,$B$6)," {name}",IF(B187="",""," "&amp;B187)),"{farm}",A187),"{link}",G187))</f>
        <v/>
      </c>
      <c r="I187" s="9" t="str">
        <f aca="false">IF(OR(A187="",D187=""),"",HYPERLINK("https://wa.me/"&amp;SUBSTITUTE(SUBSTITUTE(SUBSTITUTE(SUBSTITUTE(D187,"+","")," ",""),"-",""),"(","")&amp;"?text="&amp;_xlfn.ENCODEURL(H187),"Send on WhatsApp"))</f>
        <v/>
      </c>
      <c r="J187" s="7"/>
      <c r="K187" s="10"/>
      <c r="L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8" t="str">
        <f aca="false">IF(A188="","",$B$4&amp;"/"&amp;IF(F188="","en",F188)&amp;"/demo?farm="&amp;_xlfn.ENCODEURL(A188)&amp;"&amp;utm_source="&amp;IF(E188="","direct",E188)&amp;"&amp;utm_medium=outreach&amp;utm_campaign="&amp;_xlfn.ENCODEURL($B$5)&amp;"&amp;utm_content=row-179")</f>
        <v/>
      </c>
      <c r="H188" s="9" t="str">
        <f aca="false">IF(A188="","",SUBSTITUTE(SUBSTITUTE(SUBSTITUTE(IF(F188="ar",$B$7,$B$6)," {name}",IF(B188="",""," "&amp;B188)),"{farm}",A188),"{link}",G188))</f>
        <v/>
      </c>
      <c r="I188" s="9" t="str">
        <f aca="false">IF(OR(A188="",D188=""),"",HYPERLINK("https://wa.me/"&amp;SUBSTITUTE(SUBSTITUTE(SUBSTITUTE(SUBSTITUTE(D188,"+","")," ",""),"-",""),"(","")&amp;"?text="&amp;_xlfn.ENCODEURL(H188),"Send on WhatsApp"))</f>
        <v/>
      </c>
      <c r="J188" s="7"/>
      <c r="K188" s="10"/>
      <c r="L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8" t="str">
        <f aca="false">IF(A189="","",$B$4&amp;"/"&amp;IF(F189="","en",F189)&amp;"/demo?farm="&amp;_xlfn.ENCODEURL(A189)&amp;"&amp;utm_source="&amp;IF(E189="","direct",E189)&amp;"&amp;utm_medium=outreach&amp;utm_campaign="&amp;_xlfn.ENCODEURL($B$5)&amp;"&amp;utm_content=row-180")</f>
        <v/>
      </c>
      <c r="H189" s="9" t="str">
        <f aca="false">IF(A189="","",SUBSTITUTE(SUBSTITUTE(SUBSTITUTE(IF(F189="ar",$B$7,$B$6)," {name}",IF(B189="",""," "&amp;B189)),"{farm}",A189),"{link}",G189))</f>
        <v/>
      </c>
      <c r="I189" s="9" t="str">
        <f aca="false">IF(OR(A189="",D189=""),"",HYPERLINK("https://wa.me/"&amp;SUBSTITUTE(SUBSTITUTE(SUBSTITUTE(SUBSTITUTE(D189,"+","")," ",""),"-",""),"(","")&amp;"?text="&amp;_xlfn.ENCODEURL(H189),"Send on WhatsApp"))</f>
        <v/>
      </c>
      <c r="J189" s="7"/>
      <c r="K189" s="10"/>
      <c r="L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8" t="str">
        <f aca="false">IF(A190="","",$B$4&amp;"/"&amp;IF(F190="","en",F190)&amp;"/demo?farm="&amp;_xlfn.ENCODEURL(A190)&amp;"&amp;utm_source="&amp;IF(E190="","direct",E190)&amp;"&amp;utm_medium=outreach&amp;utm_campaign="&amp;_xlfn.ENCODEURL($B$5)&amp;"&amp;utm_content=row-181")</f>
        <v/>
      </c>
      <c r="H190" s="9" t="str">
        <f aca="false">IF(A190="","",SUBSTITUTE(SUBSTITUTE(SUBSTITUTE(IF(F190="ar",$B$7,$B$6)," {name}",IF(B190="",""," "&amp;B190)),"{farm}",A190),"{link}",G190))</f>
        <v/>
      </c>
      <c r="I190" s="9" t="str">
        <f aca="false">IF(OR(A190="",D190=""),"",HYPERLINK("https://wa.me/"&amp;SUBSTITUTE(SUBSTITUTE(SUBSTITUTE(SUBSTITUTE(D190,"+","")," ",""),"-",""),"(","")&amp;"?text="&amp;_xlfn.ENCODEURL(H190),"Send on WhatsApp"))</f>
        <v/>
      </c>
      <c r="J190" s="7"/>
      <c r="K190" s="10"/>
      <c r="L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8" t="str">
        <f aca="false">IF(A191="","",$B$4&amp;"/"&amp;IF(F191="","en",F191)&amp;"/demo?farm="&amp;_xlfn.ENCODEURL(A191)&amp;"&amp;utm_source="&amp;IF(E191="","direct",E191)&amp;"&amp;utm_medium=outreach&amp;utm_campaign="&amp;_xlfn.ENCODEURL($B$5)&amp;"&amp;utm_content=row-182")</f>
        <v/>
      </c>
      <c r="H191" s="9" t="str">
        <f aca="false">IF(A191="","",SUBSTITUTE(SUBSTITUTE(SUBSTITUTE(IF(F191="ar",$B$7,$B$6)," {name}",IF(B191="",""," "&amp;B191)),"{farm}",A191),"{link}",G191))</f>
        <v/>
      </c>
      <c r="I191" s="9" t="str">
        <f aca="false">IF(OR(A191="",D191=""),"",HYPERLINK("https://wa.me/"&amp;SUBSTITUTE(SUBSTITUTE(SUBSTITUTE(SUBSTITUTE(D191,"+","")," ",""),"-",""),"(","")&amp;"?text="&amp;_xlfn.ENCODEURL(H191),"Send on WhatsApp"))</f>
        <v/>
      </c>
      <c r="J191" s="7"/>
      <c r="K191" s="10"/>
      <c r="L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8" t="str">
        <f aca="false">IF(A192="","",$B$4&amp;"/"&amp;IF(F192="","en",F192)&amp;"/demo?farm="&amp;_xlfn.ENCODEURL(A192)&amp;"&amp;utm_source="&amp;IF(E192="","direct",E192)&amp;"&amp;utm_medium=outreach&amp;utm_campaign="&amp;_xlfn.ENCODEURL($B$5)&amp;"&amp;utm_content=row-183")</f>
        <v/>
      </c>
      <c r="H192" s="9" t="str">
        <f aca="false">IF(A192="","",SUBSTITUTE(SUBSTITUTE(SUBSTITUTE(IF(F192="ar",$B$7,$B$6)," {name}",IF(B192="",""," "&amp;B192)),"{farm}",A192),"{link}",G192))</f>
        <v/>
      </c>
      <c r="I192" s="9" t="str">
        <f aca="false">IF(OR(A192="",D192=""),"",HYPERLINK("https://wa.me/"&amp;SUBSTITUTE(SUBSTITUTE(SUBSTITUTE(SUBSTITUTE(D192,"+","")," ",""),"-",""),"(","")&amp;"?text="&amp;_xlfn.ENCODEURL(H192),"Send on WhatsApp"))</f>
        <v/>
      </c>
      <c r="J192" s="7"/>
      <c r="K192" s="10"/>
      <c r="L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8" t="str">
        <f aca="false">IF(A193="","",$B$4&amp;"/"&amp;IF(F193="","en",F193)&amp;"/demo?farm="&amp;_xlfn.ENCODEURL(A193)&amp;"&amp;utm_source="&amp;IF(E193="","direct",E193)&amp;"&amp;utm_medium=outreach&amp;utm_campaign="&amp;_xlfn.ENCODEURL($B$5)&amp;"&amp;utm_content=row-184")</f>
        <v/>
      </c>
      <c r="H193" s="9" t="str">
        <f aca="false">IF(A193="","",SUBSTITUTE(SUBSTITUTE(SUBSTITUTE(IF(F193="ar",$B$7,$B$6)," {name}",IF(B193="",""," "&amp;B193)),"{farm}",A193),"{link}",G193))</f>
        <v/>
      </c>
      <c r="I193" s="9" t="str">
        <f aca="false">IF(OR(A193="",D193=""),"",HYPERLINK("https://wa.me/"&amp;SUBSTITUTE(SUBSTITUTE(SUBSTITUTE(SUBSTITUTE(D193,"+","")," ",""),"-",""),"(","")&amp;"?text="&amp;_xlfn.ENCODEURL(H193),"Send on WhatsApp"))</f>
        <v/>
      </c>
      <c r="J193" s="7"/>
      <c r="K193" s="10"/>
      <c r="L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8" t="str">
        <f aca="false">IF(A194="","",$B$4&amp;"/"&amp;IF(F194="","en",F194)&amp;"/demo?farm="&amp;_xlfn.ENCODEURL(A194)&amp;"&amp;utm_source="&amp;IF(E194="","direct",E194)&amp;"&amp;utm_medium=outreach&amp;utm_campaign="&amp;_xlfn.ENCODEURL($B$5)&amp;"&amp;utm_content=row-185")</f>
        <v/>
      </c>
      <c r="H194" s="9" t="str">
        <f aca="false">IF(A194="","",SUBSTITUTE(SUBSTITUTE(SUBSTITUTE(IF(F194="ar",$B$7,$B$6)," {name}",IF(B194="",""," "&amp;B194)),"{farm}",A194),"{link}",G194))</f>
        <v/>
      </c>
      <c r="I194" s="9" t="str">
        <f aca="false">IF(OR(A194="",D194=""),"",HYPERLINK("https://wa.me/"&amp;SUBSTITUTE(SUBSTITUTE(SUBSTITUTE(SUBSTITUTE(D194,"+","")," ",""),"-",""),"(","")&amp;"?text="&amp;_xlfn.ENCODEURL(H194),"Send on WhatsApp"))</f>
        <v/>
      </c>
      <c r="J194" s="7"/>
      <c r="K194" s="10"/>
      <c r="L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8" t="str">
        <f aca="false">IF(A195="","",$B$4&amp;"/"&amp;IF(F195="","en",F195)&amp;"/demo?farm="&amp;_xlfn.ENCODEURL(A195)&amp;"&amp;utm_source="&amp;IF(E195="","direct",E195)&amp;"&amp;utm_medium=outreach&amp;utm_campaign="&amp;_xlfn.ENCODEURL($B$5)&amp;"&amp;utm_content=row-186")</f>
        <v/>
      </c>
      <c r="H195" s="9" t="str">
        <f aca="false">IF(A195="","",SUBSTITUTE(SUBSTITUTE(SUBSTITUTE(IF(F195="ar",$B$7,$B$6)," {name}",IF(B195="",""," "&amp;B195)),"{farm}",A195),"{link}",G195))</f>
        <v/>
      </c>
      <c r="I195" s="9" t="str">
        <f aca="false">IF(OR(A195="",D195=""),"",HYPERLINK("https://wa.me/"&amp;SUBSTITUTE(SUBSTITUTE(SUBSTITUTE(SUBSTITUTE(D195,"+","")," ",""),"-",""),"(","")&amp;"?text="&amp;_xlfn.ENCODEURL(H195),"Send on WhatsApp"))</f>
        <v/>
      </c>
      <c r="J195" s="7"/>
      <c r="K195" s="10"/>
      <c r="L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8" t="str">
        <f aca="false">IF(A196="","",$B$4&amp;"/"&amp;IF(F196="","en",F196)&amp;"/demo?farm="&amp;_xlfn.ENCODEURL(A196)&amp;"&amp;utm_source="&amp;IF(E196="","direct",E196)&amp;"&amp;utm_medium=outreach&amp;utm_campaign="&amp;_xlfn.ENCODEURL($B$5)&amp;"&amp;utm_content=row-187")</f>
        <v/>
      </c>
      <c r="H196" s="9" t="str">
        <f aca="false">IF(A196="","",SUBSTITUTE(SUBSTITUTE(SUBSTITUTE(IF(F196="ar",$B$7,$B$6)," {name}",IF(B196="",""," "&amp;B196)),"{farm}",A196),"{link}",G196))</f>
        <v/>
      </c>
      <c r="I196" s="9" t="str">
        <f aca="false">IF(OR(A196="",D196=""),"",HYPERLINK("https://wa.me/"&amp;SUBSTITUTE(SUBSTITUTE(SUBSTITUTE(SUBSTITUTE(D196,"+","")," ",""),"-",""),"(","")&amp;"?text="&amp;_xlfn.ENCODEURL(H196),"Send on WhatsApp"))</f>
        <v/>
      </c>
      <c r="J196" s="7"/>
      <c r="K196" s="10"/>
      <c r="L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8" t="str">
        <f aca="false">IF(A197="","",$B$4&amp;"/"&amp;IF(F197="","en",F197)&amp;"/demo?farm="&amp;_xlfn.ENCODEURL(A197)&amp;"&amp;utm_source="&amp;IF(E197="","direct",E197)&amp;"&amp;utm_medium=outreach&amp;utm_campaign="&amp;_xlfn.ENCODEURL($B$5)&amp;"&amp;utm_content=row-188")</f>
        <v/>
      </c>
      <c r="H197" s="9" t="str">
        <f aca="false">IF(A197="","",SUBSTITUTE(SUBSTITUTE(SUBSTITUTE(IF(F197="ar",$B$7,$B$6)," {name}",IF(B197="",""," "&amp;B197)),"{farm}",A197),"{link}",G197))</f>
        <v/>
      </c>
      <c r="I197" s="9" t="str">
        <f aca="false">IF(OR(A197="",D197=""),"",HYPERLINK("https://wa.me/"&amp;SUBSTITUTE(SUBSTITUTE(SUBSTITUTE(SUBSTITUTE(D197,"+","")," ",""),"-",""),"(","")&amp;"?text="&amp;_xlfn.ENCODEURL(H197),"Send on WhatsApp"))</f>
        <v/>
      </c>
      <c r="J197" s="7"/>
      <c r="K197" s="10"/>
      <c r="L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8" t="str">
        <f aca="false">IF(A198="","",$B$4&amp;"/"&amp;IF(F198="","en",F198)&amp;"/demo?farm="&amp;_xlfn.ENCODEURL(A198)&amp;"&amp;utm_source="&amp;IF(E198="","direct",E198)&amp;"&amp;utm_medium=outreach&amp;utm_campaign="&amp;_xlfn.ENCODEURL($B$5)&amp;"&amp;utm_content=row-189")</f>
        <v/>
      </c>
      <c r="H198" s="9" t="str">
        <f aca="false">IF(A198="","",SUBSTITUTE(SUBSTITUTE(SUBSTITUTE(IF(F198="ar",$B$7,$B$6)," {name}",IF(B198="",""," "&amp;B198)),"{farm}",A198),"{link}",G198))</f>
        <v/>
      </c>
      <c r="I198" s="9" t="str">
        <f aca="false">IF(OR(A198="",D198=""),"",HYPERLINK("https://wa.me/"&amp;SUBSTITUTE(SUBSTITUTE(SUBSTITUTE(SUBSTITUTE(D198,"+","")," ",""),"-",""),"(","")&amp;"?text="&amp;_xlfn.ENCODEURL(H198),"Send on WhatsApp"))</f>
        <v/>
      </c>
      <c r="J198" s="7"/>
      <c r="K198" s="10"/>
      <c r="L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8" t="str">
        <f aca="false">IF(A199="","",$B$4&amp;"/"&amp;IF(F199="","en",F199)&amp;"/demo?farm="&amp;_xlfn.ENCODEURL(A199)&amp;"&amp;utm_source="&amp;IF(E199="","direct",E199)&amp;"&amp;utm_medium=outreach&amp;utm_campaign="&amp;_xlfn.ENCODEURL($B$5)&amp;"&amp;utm_content=row-190")</f>
        <v/>
      </c>
      <c r="H199" s="9" t="str">
        <f aca="false">IF(A199="","",SUBSTITUTE(SUBSTITUTE(SUBSTITUTE(IF(F199="ar",$B$7,$B$6)," {name}",IF(B199="",""," "&amp;B199)),"{farm}",A199),"{link}",G199))</f>
        <v/>
      </c>
      <c r="I199" s="9" t="str">
        <f aca="false">IF(OR(A199="",D199=""),"",HYPERLINK("https://wa.me/"&amp;SUBSTITUTE(SUBSTITUTE(SUBSTITUTE(SUBSTITUTE(D199,"+","")," ",""),"-",""),"(","")&amp;"?text="&amp;_xlfn.ENCODEURL(H199),"Send on WhatsApp"))</f>
        <v/>
      </c>
      <c r="J199" s="7"/>
      <c r="K199" s="10"/>
      <c r="L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8" t="str">
        <f aca="false">IF(A200="","",$B$4&amp;"/"&amp;IF(F200="","en",F200)&amp;"/demo?farm="&amp;_xlfn.ENCODEURL(A200)&amp;"&amp;utm_source="&amp;IF(E200="","direct",E200)&amp;"&amp;utm_medium=outreach&amp;utm_campaign="&amp;_xlfn.ENCODEURL($B$5)&amp;"&amp;utm_content=row-191")</f>
        <v/>
      </c>
      <c r="H200" s="9" t="str">
        <f aca="false">IF(A200="","",SUBSTITUTE(SUBSTITUTE(SUBSTITUTE(IF(F200="ar",$B$7,$B$6)," {name}",IF(B200="",""," "&amp;B200)),"{farm}",A200),"{link}",G200))</f>
        <v/>
      </c>
      <c r="I200" s="9" t="str">
        <f aca="false">IF(OR(A200="",D200=""),"",HYPERLINK("https://wa.me/"&amp;SUBSTITUTE(SUBSTITUTE(SUBSTITUTE(SUBSTITUTE(D200,"+","")," ",""),"-",""),"(","")&amp;"?text="&amp;_xlfn.ENCODEURL(H200),"Send on WhatsApp"))</f>
        <v/>
      </c>
      <c r="J200" s="7"/>
      <c r="K200" s="10"/>
      <c r="L200" s="7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8" t="str">
        <f aca="false">IF(A201="","",$B$4&amp;"/"&amp;IF(F201="","en",F201)&amp;"/demo?farm="&amp;_xlfn.ENCODEURL(A201)&amp;"&amp;utm_source="&amp;IF(E201="","direct",E201)&amp;"&amp;utm_medium=outreach&amp;utm_campaign="&amp;_xlfn.ENCODEURL($B$5)&amp;"&amp;utm_content=row-192")</f>
        <v/>
      </c>
      <c r="H201" s="9" t="str">
        <f aca="false">IF(A201="","",SUBSTITUTE(SUBSTITUTE(SUBSTITUTE(IF(F201="ar",$B$7,$B$6)," {name}",IF(B201="",""," "&amp;B201)),"{farm}",A201),"{link}",G201))</f>
        <v/>
      </c>
      <c r="I201" s="9" t="str">
        <f aca="false">IF(OR(A201="",D201=""),"",HYPERLINK("https://wa.me/"&amp;SUBSTITUTE(SUBSTITUTE(SUBSTITUTE(SUBSTITUTE(D201,"+","")," ",""),"-",""),"(","")&amp;"?text="&amp;_xlfn.ENCODEURL(H201),"Send on WhatsApp"))</f>
        <v/>
      </c>
      <c r="J201" s="7"/>
      <c r="K201" s="10"/>
      <c r="L201" s="7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8" t="str">
        <f aca="false">IF(A202="","",$B$4&amp;"/"&amp;IF(F202="","en",F202)&amp;"/demo?farm="&amp;_xlfn.ENCODEURL(A202)&amp;"&amp;utm_source="&amp;IF(E202="","direct",E202)&amp;"&amp;utm_medium=outreach&amp;utm_campaign="&amp;_xlfn.ENCODEURL($B$5)&amp;"&amp;utm_content=row-193")</f>
        <v/>
      </c>
      <c r="H202" s="9" t="str">
        <f aca="false">IF(A202="","",SUBSTITUTE(SUBSTITUTE(SUBSTITUTE(IF(F202="ar",$B$7,$B$6)," {name}",IF(B202="",""," "&amp;B202)),"{farm}",A202),"{link}",G202))</f>
        <v/>
      </c>
      <c r="I202" s="9" t="str">
        <f aca="false">IF(OR(A202="",D202=""),"",HYPERLINK("https://wa.me/"&amp;SUBSTITUTE(SUBSTITUTE(SUBSTITUTE(SUBSTITUTE(D202,"+","")," ",""),"-",""),"(","")&amp;"?text="&amp;_xlfn.ENCODEURL(H202),"Send on WhatsApp"))</f>
        <v/>
      </c>
      <c r="J202" s="7"/>
      <c r="K202" s="10"/>
      <c r="L202" s="7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8" t="str">
        <f aca="false">IF(A203="","",$B$4&amp;"/"&amp;IF(F203="","en",F203)&amp;"/demo?farm="&amp;_xlfn.ENCODEURL(A203)&amp;"&amp;utm_source="&amp;IF(E203="","direct",E203)&amp;"&amp;utm_medium=outreach&amp;utm_campaign="&amp;_xlfn.ENCODEURL($B$5)&amp;"&amp;utm_content=row-194")</f>
        <v/>
      </c>
      <c r="H203" s="9" t="str">
        <f aca="false">IF(A203="","",SUBSTITUTE(SUBSTITUTE(SUBSTITUTE(IF(F203="ar",$B$7,$B$6)," {name}",IF(B203="",""," "&amp;B203)),"{farm}",A203),"{link}",G203))</f>
        <v/>
      </c>
      <c r="I203" s="9" t="str">
        <f aca="false">IF(OR(A203="",D203=""),"",HYPERLINK("https://wa.me/"&amp;SUBSTITUTE(SUBSTITUTE(SUBSTITUTE(SUBSTITUTE(D203,"+","")," ",""),"-",""),"(","")&amp;"?text="&amp;_xlfn.ENCODEURL(H203),"Send on WhatsApp"))</f>
        <v/>
      </c>
      <c r="J203" s="7"/>
      <c r="K203" s="10"/>
      <c r="L203" s="7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8" t="str">
        <f aca="false">IF(A204="","",$B$4&amp;"/"&amp;IF(F204="","en",F204)&amp;"/demo?farm="&amp;_xlfn.ENCODEURL(A204)&amp;"&amp;utm_source="&amp;IF(E204="","direct",E204)&amp;"&amp;utm_medium=outreach&amp;utm_campaign="&amp;_xlfn.ENCODEURL($B$5)&amp;"&amp;utm_content=row-195")</f>
        <v/>
      </c>
      <c r="H204" s="9" t="str">
        <f aca="false">IF(A204="","",SUBSTITUTE(SUBSTITUTE(SUBSTITUTE(IF(F204="ar",$B$7,$B$6)," {name}",IF(B204="",""," "&amp;B204)),"{farm}",A204),"{link}",G204))</f>
        <v/>
      </c>
      <c r="I204" s="9" t="str">
        <f aca="false">IF(OR(A204="",D204=""),"",HYPERLINK("https://wa.me/"&amp;SUBSTITUTE(SUBSTITUTE(SUBSTITUTE(SUBSTITUTE(D204,"+","")," ",""),"-",""),"(","")&amp;"?text="&amp;_xlfn.ENCODEURL(H204),"Send on WhatsApp"))</f>
        <v/>
      </c>
      <c r="J204" s="7"/>
      <c r="K204" s="10"/>
      <c r="L204" s="7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8" t="str">
        <f aca="false">IF(A205="","",$B$4&amp;"/"&amp;IF(F205="","en",F205)&amp;"/demo?farm="&amp;_xlfn.ENCODEURL(A205)&amp;"&amp;utm_source="&amp;IF(E205="","direct",E205)&amp;"&amp;utm_medium=outreach&amp;utm_campaign="&amp;_xlfn.ENCODEURL($B$5)&amp;"&amp;utm_content=row-196")</f>
        <v/>
      </c>
      <c r="H205" s="9" t="str">
        <f aca="false">IF(A205="","",SUBSTITUTE(SUBSTITUTE(SUBSTITUTE(IF(F205="ar",$B$7,$B$6)," {name}",IF(B205="",""," "&amp;B205)),"{farm}",A205),"{link}",G205))</f>
        <v/>
      </c>
      <c r="I205" s="9" t="str">
        <f aca="false">IF(OR(A205="",D205=""),"",HYPERLINK("https://wa.me/"&amp;SUBSTITUTE(SUBSTITUTE(SUBSTITUTE(SUBSTITUTE(D205,"+","")," ",""),"-",""),"(","")&amp;"?text="&amp;_xlfn.ENCODEURL(H205),"Send on WhatsApp"))</f>
        <v/>
      </c>
      <c r="J205" s="7"/>
      <c r="K205" s="10"/>
      <c r="L205" s="7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8" t="str">
        <f aca="false">IF(A206="","",$B$4&amp;"/"&amp;IF(F206="","en",F206)&amp;"/demo?farm="&amp;_xlfn.ENCODEURL(A206)&amp;"&amp;utm_source="&amp;IF(E206="","direct",E206)&amp;"&amp;utm_medium=outreach&amp;utm_campaign="&amp;_xlfn.ENCODEURL($B$5)&amp;"&amp;utm_content=row-197")</f>
        <v/>
      </c>
      <c r="H206" s="9" t="str">
        <f aca="false">IF(A206="","",SUBSTITUTE(SUBSTITUTE(SUBSTITUTE(IF(F206="ar",$B$7,$B$6)," {name}",IF(B206="",""," "&amp;B206)),"{farm}",A206),"{link}",G206))</f>
        <v/>
      </c>
      <c r="I206" s="9" t="str">
        <f aca="false">IF(OR(A206="",D206=""),"",HYPERLINK("https://wa.me/"&amp;SUBSTITUTE(SUBSTITUTE(SUBSTITUTE(SUBSTITUTE(D206,"+","")," ",""),"-",""),"(","")&amp;"?text="&amp;_xlfn.ENCODEURL(H206),"Send on WhatsApp"))</f>
        <v/>
      </c>
      <c r="J206" s="7"/>
      <c r="K206" s="10"/>
      <c r="L206" s="7"/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8" t="str">
        <f aca="false">IF(A207="","",$B$4&amp;"/"&amp;IF(F207="","en",F207)&amp;"/demo?farm="&amp;_xlfn.ENCODEURL(A207)&amp;"&amp;utm_source="&amp;IF(E207="","direct",E207)&amp;"&amp;utm_medium=outreach&amp;utm_campaign="&amp;_xlfn.ENCODEURL($B$5)&amp;"&amp;utm_content=row-198")</f>
        <v/>
      </c>
      <c r="H207" s="9" t="str">
        <f aca="false">IF(A207="","",SUBSTITUTE(SUBSTITUTE(SUBSTITUTE(IF(F207="ar",$B$7,$B$6)," {name}",IF(B207="",""," "&amp;B207)),"{farm}",A207),"{link}",G207))</f>
        <v/>
      </c>
      <c r="I207" s="9" t="str">
        <f aca="false">IF(OR(A207="",D207=""),"",HYPERLINK("https://wa.me/"&amp;SUBSTITUTE(SUBSTITUTE(SUBSTITUTE(SUBSTITUTE(D207,"+","")," ",""),"-",""),"(","")&amp;"?text="&amp;_xlfn.ENCODEURL(H207),"Send on WhatsApp"))</f>
        <v/>
      </c>
      <c r="J207" s="7"/>
      <c r="K207" s="10"/>
      <c r="L207" s="7"/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8" t="str">
        <f aca="false">IF(A208="","",$B$4&amp;"/"&amp;IF(F208="","en",F208)&amp;"/demo?farm="&amp;_xlfn.ENCODEURL(A208)&amp;"&amp;utm_source="&amp;IF(E208="","direct",E208)&amp;"&amp;utm_medium=outreach&amp;utm_campaign="&amp;_xlfn.ENCODEURL($B$5)&amp;"&amp;utm_content=row-199")</f>
        <v/>
      </c>
      <c r="H208" s="9" t="str">
        <f aca="false">IF(A208="","",SUBSTITUTE(SUBSTITUTE(SUBSTITUTE(IF(F208="ar",$B$7,$B$6)," {name}",IF(B208="",""," "&amp;B208)),"{farm}",A208),"{link}",G208))</f>
        <v/>
      </c>
      <c r="I208" s="9" t="str">
        <f aca="false">IF(OR(A208="",D208=""),"",HYPERLINK("https://wa.me/"&amp;SUBSTITUTE(SUBSTITUTE(SUBSTITUTE(SUBSTITUTE(D208,"+","")," ",""),"-",""),"(","")&amp;"?text="&amp;_xlfn.ENCODEURL(H208),"Send on WhatsApp"))</f>
        <v/>
      </c>
      <c r="J208" s="7"/>
      <c r="K208" s="10"/>
      <c r="L208" s="7"/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8" t="str">
        <f aca="false">IF(A209="","",$B$4&amp;"/"&amp;IF(F209="","en",F209)&amp;"/demo?farm="&amp;_xlfn.ENCODEURL(A209)&amp;"&amp;utm_source="&amp;IF(E209="","direct",E209)&amp;"&amp;utm_medium=outreach&amp;utm_campaign="&amp;_xlfn.ENCODEURL($B$5)&amp;"&amp;utm_content=row-200")</f>
        <v/>
      </c>
      <c r="H209" s="9" t="str">
        <f aca="false">IF(A209="","",SUBSTITUTE(SUBSTITUTE(SUBSTITUTE(IF(F209="ar",$B$7,$B$6)," {name}",IF(B209="",""," "&amp;B209)),"{farm}",A209),"{link}",G209))</f>
        <v/>
      </c>
      <c r="I209" s="9" t="str">
        <f aca="false">IF(OR(A209="",D209=""),"",HYPERLINK("https://wa.me/"&amp;SUBSTITUTE(SUBSTITUTE(SUBSTITUTE(SUBSTITUTE(D209,"+","")," ",""),"-",""),"(","")&amp;"?text="&amp;_xlfn.ENCODEURL(H209),"Send on WhatsApp"))</f>
        <v/>
      </c>
      <c r="J209" s="7"/>
      <c r="K209" s="10"/>
      <c r="L209" s="7"/>
    </row>
  </sheetData>
  <autoFilter ref="A9:L209"/>
  <mergeCells count="4">
    <mergeCell ref="B4:F4"/>
    <mergeCell ref="B5:F5"/>
    <mergeCell ref="B6:F6"/>
    <mergeCell ref="B7:F7"/>
  </mergeCells>
  <dataValidations count="3">
    <dataValidation allowBlank="true" errorStyle="stop" operator="between" prompt="Where you sent the link" promptTitle="Choose one" showDropDown="false" showErrorMessage="false" showInputMessage="false" sqref="E10:E209" type="list">
      <formula1>"whatsapp,linkedin,email,other"</formula1>
      <formula2>0</formula2>
    </dataValidation>
    <dataValidation allowBlank="true" errorStyle="stop" operator="between" prompt="Language of the demo and message" promptTitle="Choose one" showDropDown="false" showErrorMessage="false" showInputMessage="false" sqref="F10:F209" type="list">
      <formula1>"en,ar"</formula1>
      <formula2>0</formula2>
    </dataValidation>
    <dataValidation allowBlank="true" errorStyle="stop" operator="between" prompt="Where this farm is in the funnel" promptTitle="Choose one" showDropDown="false" showErrorMessage="false" showInputMessage="false" sqref="J10:J209" type="list">
      <formula1>"to contact,sent,replied,call booked,pilot,not interested"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1" t="s">
        <v>79</v>
      </c>
    </row>
    <row r="2" customFormat="false" ht="15" hidden="false" customHeight="false" outlineLevel="0" collapsed="false">
      <c r="A2" s="12" t="s">
        <v>80</v>
      </c>
    </row>
    <row r="3" customFormat="false" ht="26.85" hidden="false" customHeight="false" outlineLevel="0" collapsed="false">
      <c r="A3" s="12" t="s">
        <v>81</v>
      </c>
    </row>
    <row r="4" customFormat="false" ht="26.85" hidden="false" customHeight="false" outlineLevel="0" collapsed="false">
      <c r="A4" s="12" t="s">
        <v>82</v>
      </c>
    </row>
    <row r="5" customFormat="false" ht="15" hidden="false" customHeight="false" outlineLevel="0" collapsed="false">
      <c r="A5" s="12" t="s">
        <v>83</v>
      </c>
    </row>
    <row r="6" customFormat="false" ht="15" hidden="false" customHeight="false" outlineLevel="0" collapsed="false">
      <c r="A6" s="12" t="s">
        <v>84</v>
      </c>
    </row>
    <row r="7" customFormat="false" ht="15" hidden="false" customHeight="false" outlineLevel="0" collapsed="false">
      <c r="A7" s="12"/>
    </row>
    <row r="8" customFormat="false" ht="16.15" hidden="false" customHeight="false" outlineLevel="0" collapsed="false">
      <c r="A8" s="11" t="s">
        <v>85</v>
      </c>
    </row>
    <row r="9" customFormat="false" ht="26.85" hidden="false" customHeight="false" outlineLevel="0" collapsed="false">
      <c r="A9" s="12" t="s">
        <v>86</v>
      </c>
    </row>
    <row r="10" customFormat="false" ht="15" hidden="false" customHeight="false" outlineLevel="0" collapsed="false">
      <c r="A10" s="12" t="s">
        <v>87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1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2026-10-08T12:09:56Z</dcterms:created>
  <dc:creator>openpyxl</dc:creator>
  <dc:description/>
  <dc:language>en-US</dc:language>
  <cp:lastModifiedBy/>
  <dcterms:modified xsi:type="dcterms:W3CDTF">2026-10-08T12:09:56Z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